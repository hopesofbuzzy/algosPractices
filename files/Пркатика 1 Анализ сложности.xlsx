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ml.chartshapes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styles.xml" ContentType="application/vnd.openxmlformats-officedocument.spreadsheetml.styles+xml"/>
  <Override PartName="/xl/charts/colors12.xml" ContentType="application/vnd.ms-office.chartcolorstyle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1.xml" ContentType="application/vnd.ms-office.chartcolorstyle+xml"/>
  <Override PartName="/xl/charts/style1.xml" ContentType="application/vnd.ms-office.chartstyle+xml"/>
  <Override PartName="/xl/charts/chart3.xml" ContentType="application/vnd.openxmlformats-officedocument.drawingml.chart+xml"/>
  <Override PartName="/xl/charts/colors10.xml" ContentType="application/vnd.ms-office.chartcolorstyle+xml"/>
  <Override PartName="/xl/charts/colors1.xml" ContentType="application/vnd.ms-office.chartcolorstyle+xml"/>
  <Override PartName="/xl/charts/colors13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7.xml" ContentType="application/vnd.ms-office.chartcolorstyle+xml"/>
  <Override PartName="/xl/charts/style6.xml" ContentType="application/vnd.ms-office.chartstyle+xml"/>
  <Override PartName="/xl/charts/style7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9.xml" ContentType="application/vnd.ms-office.chartcolorstyle+xml"/>
  <Override PartName="/xl/charts/style8.xml" ContentType="application/vnd.ms-office.chartstyle+xml"/>
  <Override PartName="/xl/charts/style9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hart10.xml" ContentType="application/vnd.openxmlformats-officedocument.drawingml.chart+xml"/>
  <Override PartName="/xl/charts/style10.xml" ContentType="application/vnd.ms-office.chartstyle+xml"/>
  <Override PartName="/xl/charts/style12.xml" ContentType="application/vnd.ms-office.chartstyle+xml"/>
  <Override PartName="/xl/charts/chart11.xml" ContentType="application/vnd.openxmlformats-officedocument.drawingml.chart+xml"/>
  <Override PartName="/xl/charts/style13.xml" ContentType="application/vnd.ms-office.chart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emf" ContentType="image/x-emf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bbleSort" sheetId="1" state="visible" r:id="rId3"/>
    <sheet name="MergeSort" sheetId="2" state="visible" r:id="rId4"/>
    <sheet name="BubbleMergeSort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<sst xmlns="http://schemas.openxmlformats.org/spreadsheetml/2006/main" count="14" uniqueCount="4">
  <si>
    <t xml:space="preserve">N</t>
  </si>
  <si>
    <t xml:space="preserve">Среднее</t>
  </si>
  <si>
    <t xml:space="preserve">MergeSort(средний)</t>
  </si>
  <si>
    <t xml:space="preserve">BubbleSort (средний)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</si>
</sst>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3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openxmlformats.org/officeDocument/2006/relationships/chartUserShapes" Target="../drawings/drawing3.xml"/><Relationship Id="rId2" Type="http://schemas.microsoft.com/office/2011/relationships/chartStyle" Target="style7.xml"/><Relationship Id="rId3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_rels/chart11.xml.rels><?xml version="1.0" encoding="UTF-8"?>
<Relationships xmlns="http://schemas.openxmlformats.org/package/2006/relationships"><Relationship Id="rId1" Type="http://schemas.openxmlformats.org/officeDocument/2006/relationships/chartUserShapes" Target="../drawings/drawing4.xml"/><Relationship Id="rId2" Type="http://schemas.microsoft.com/office/2011/relationships/chartStyle" Target="style11.xml"/><Relationship Id="rId3" Type="http://schemas.microsoft.com/office/2011/relationships/chartColorStyle" Target="colors11.xml"/>
</Relationships>
</file>

<file path=xl/charts/_rels/chart12.xml.rels><?xml version="1.0" encoding="UTF-8"?>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
</Relationships>
</file>

<file path=xl/charts/_rels/chart13.xml.rels><?xml version="1.0" encoding="UTF-8"?>
<Relationships xmlns="http://schemas.openxmlformats.org/package/2006/relationships"><Relationship Id="rId1" Type="http://schemas.microsoft.com/office/2011/relationships/chartStyle" Target="style13.xml"/><Relationship Id="rId2" Type="http://schemas.microsoft.com/office/2011/relationships/chartColorStyle" Target="colors1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Лучший BubbleSort (отсортированный массив)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(возможно, влияют оптимизации языка или процессора)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лучший</c:f>
              <c:strCache>
                <c:ptCount val="1"/>
                <c:pt idx="0">
                  <c:v>лучший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BubbleSort!$E$26:$E$38</c:f>
              <c:numCache>
                <c:formatCode>General</c:formatCode>
                <c:ptCount val="13"/>
                <c:pt idx="0">
                  <c:v>602233.333333333</c:v>
                </c:pt>
                <c:pt idx="1">
                  <c:v>5300</c:v>
                </c:pt>
                <c:pt idx="2">
                  <c:v>8433.33333333333</c:v>
                </c:pt>
                <c:pt idx="3">
                  <c:v>17266.6666666667</c:v>
                </c:pt>
                <c:pt idx="4">
                  <c:v>35433.3333333333</c:v>
                </c:pt>
                <c:pt idx="5">
                  <c:v>63533.3333333333</c:v>
                </c:pt>
                <c:pt idx="6">
                  <c:v>142900</c:v>
                </c:pt>
                <c:pt idx="7">
                  <c:v>265200</c:v>
                </c:pt>
                <c:pt idx="8">
                  <c:v>986800</c:v>
                </c:pt>
                <c:pt idx="9">
                  <c:v>1245766.66666667</c:v>
                </c:pt>
                <c:pt idx="10">
                  <c:v>605166.666666667</c:v>
                </c:pt>
                <c:pt idx="11">
                  <c:v>773300</c:v>
                </c:pt>
                <c:pt idx="12">
                  <c:v>328600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6092971"/>
        <c:axId val="98081919"/>
      </c:lineChart>
      <c:catAx>
        <c:axId val="7609297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8081919"/>
        <c:crosses val="autoZero"/>
        <c:auto val="1"/>
        <c:lblAlgn val="ctr"/>
        <c:lblOffset val="100"/>
        <c:noMultiLvlLbl val="0"/>
      </c:catAx>
      <c:valAx>
        <c:axId val="980819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609297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Худший BubbleSort (обратно отсортированный массив) (возможно, влияют оптимизации языка или процессора)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худший</c:f>
              <c:strCache>
                <c:ptCount val="1"/>
                <c:pt idx="0">
                  <c:v>худший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BubbleSort!$E$48:$E$58</c:f>
              <c:numCache>
                <c:formatCode>General</c:formatCode>
                <c:ptCount val="11"/>
                <c:pt idx="0">
                  <c:v>666933.333333333</c:v>
                </c:pt>
                <c:pt idx="1">
                  <c:v>414633.333333333</c:v>
                </c:pt>
                <c:pt idx="2">
                  <c:v>1845566.66666667</c:v>
                </c:pt>
                <c:pt idx="3">
                  <c:v>3569766.66666667</c:v>
                </c:pt>
                <c:pt idx="4">
                  <c:v>1268366.66666667</c:v>
                </c:pt>
                <c:pt idx="5">
                  <c:v>3710200</c:v>
                </c:pt>
                <c:pt idx="6">
                  <c:v>6015766.66666667</c:v>
                </c:pt>
                <c:pt idx="7">
                  <c:v>12261300</c:v>
                </c:pt>
                <c:pt idx="8">
                  <c:v>170568433.333333</c:v>
                </c:pt>
                <c:pt idx="9">
                  <c:v>611873133.333333</c:v>
                </c:pt>
                <c:pt idx="10">
                  <c:v>2067710233.33333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9038275"/>
        <c:axId val="7174051"/>
      </c:lineChart>
      <c:catAx>
        <c:axId val="7903827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174051"/>
        <c:crosses val="autoZero"/>
        <c:auto val="1"/>
        <c:lblAlgn val="ctr"/>
        <c:lblOffset val="100"/>
        <c:noMultiLvlLbl val="0"/>
      </c:catAx>
      <c:valAx>
        <c:axId val="71740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903827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Средний BubbleSort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875819441843"/>
          <c:y val="0.0396260017809439"/>
          <c:w val="0.659986264593869"/>
          <c:h val="0.864870881567231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BubbleSort!$E$2:$E$12</c:f>
              <c:numCache>
                <c:formatCode>General</c:formatCode>
                <c:ptCount val="11"/>
                <c:pt idx="0">
                  <c:v>609733.333333333</c:v>
                </c:pt>
                <c:pt idx="1">
                  <c:v>328300</c:v>
                </c:pt>
                <c:pt idx="2">
                  <c:v>1138500</c:v>
                </c:pt>
                <c:pt idx="3">
                  <c:v>3360166.66666667</c:v>
                </c:pt>
                <c:pt idx="4">
                  <c:v>1563400</c:v>
                </c:pt>
                <c:pt idx="5">
                  <c:v>4702100</c:v>
                </c:pt>
                <c:pt idx="6">
                  <c:v>7057666.66666667</c:v>
                </c:pt>
                <c:pt idx="7">
                  <c:v>22063233.3333333</c:v>
                </c:pt>
                <c:pt idx="8">
                  <c:v>678044933.333333</c:v>
                </c:pt>
                <c:pt idx="9">
                  <c:v>2839316233.33333</c:v>
                </c:pt>
                <c:pt idx="10">
                  <c:v>11045242000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9944121"/>
        <c:axId val="51594830"/>
      </c:lineChart>
      <c:catAx>
        <c:axId val="7994412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1594830"/>
        <c:crosses val="autoZero"/>
        <c:auto val="1"/>
        <c:lblAlgn val="ctr"/>
        <c:lblOffset val="100"/>
        <c:noMultiLvlLbl val="0"/>
      </c:catAx>
      <c:valAx>
        <c:axId val="515948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994412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x^2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BubbleSort!$O$2:$O$17</c:f>
              <c:numCache>
                <c:formatCode>General</c:formatCode>
                <c:ptCount val="16"/>
                <c:pt idx="0">
                  <c:v>20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3200</c:v>
                </c:pt>
                <c:pt idx="6">
                  <c:v>6400</c:v>
                </c:pt>
                <c:pt idx="7">
                  <c:v>12800</c:v>
                </c:pt>
                <c:pt idx="8">
                  <c:v>25600</c:v>
                </c:pt>
                <c:pt idx="9">
                  <c:v>51200</c:v>
                </c:pt>
                <c:pt idx="10">
                  <c:v>102400</c:v>
                </c:pt>
                <c:pt idx="11">
                  <c:v>204800</c:v>
                </c:pt>
                <c:pt idx="12">
                  <c:v>409600</c:v>
                </c:pt>
                <c:pt idx="13">
                  <c:v>819200</c:v>
                </c:pt>
                <c:pt idx="14">
                  <c:v>1638400</c:v>
                </c:pt>
                <c:pt idx="15">
                  <c:v>3276800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5958186"/>
        <c:axId val="78710386"/>
      </c:lineChart>
      <c:catAx>
        <c:axId val="4595818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8710386"/>
        <c:crosses val="autoZero"/>
        <c:auto val="1"/>
        <c:lblAlgn val="ctr"/>
        <c:lblOffset val="100"/>
        <c:noMultiLvlLbl val="0"/>
      </c:catAx>
      <c:valAx>
        <c:axId val="787103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595818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/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BubbleSort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875819441843"/>
          <c:y val="0.0396260017809439"/>
          <c:w val="0.659986264593869"/>
          <c:h val="0.864870881567231"/>
        </c:manualLayout>
      </c:layout>
      <c:lineChart>
        <c:grouping val="standard"/>
        <c:varyColors val="0"/>
        <c:ser>
          <c:idx val="0"/>
          <c:order val="0"/>
          <c:tx>
            <c:strRef>
              <c:f>средний</c:f>
              <c:strCache>
                <c:ptCount val="1"/>
                <c:pt idx="0">
                  <c:v>средний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BubbleSort!$E$2:$E$12</c:f>
              <c:numCache>
                <c:formatCode>General</c:formatCode>
                <c:ptCount val="11"/>
                <c:pt idx="0">
                  <c:v>609733.333333333</c:v>
                </c:pt>
                <c:pt idx="1">
                  <c:v>328300</c:v>
                </c:pt>
                <c:pt idx="2">
                  <c:v>1138500</c:v>
                </c:pt>
                <c:pt idx="3">
                  <c:v>3360166.66666667</c:v>
                </c:pt>
                <c:pt idx="4">
                  <c:v>1563400</c:v>
                </c:pt>
                <c:pt idx="5">
                  <c:v>4702100</c:v>
                </c:pt>
                <c:pt idx="6">
                  <c:v>7057666.66666667</c:v>
                </c:pt>
                <c:pt idx="7">
                  <c:v>22063233.3333333</c:v>
                </c:pt>
                <c:pt idx="8">
                  <c:v>678044933.333333</c:v>
                </c:pt>
                <c:pt idx="9">
                  <c:v>2839316233.33333</c:v>
                </c:pt>
                <c:pt idx="10">
                  <c:v>11045242000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лучший</c:f>
              <c:strCache>
                <c:ptCount val="1"/>
                <c:pt idx="0">
                  <c:v>лучший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BubbleSort!$E$26:$E$38</c:f>
              <c:numCache>
                <c:formatCode>General</c:formatCode>
                <c:ptCount val="13"/>
                <c:pt idx="0">
                  <c:v>602233.333333333</c:v>
                </c:pt>
                <c:pt idx="1">
                  <c:v>5300</c:v>
                </c:pt>
                <c:pt idx="2">
                  <c:v>8433.33333333333</c:v>
                </c:pt>
                <c:pt idx="3">
                  <c:v>17266.6666666667</c:v>
                </c:pt>
                <c:pt idx="4">
                  <c:v>35433.3333333333</c:v>
                </c:pt>
                <c:pt idx="5">
                  <c:v>63533.3333333333</c:v>
                </c:pt>
                <c:pt idx="6">
                  <c:v>142900</c:v>
                </c:pt>
                <c:pt idx="7">
                  <c:v>265200</c:v>
                </c:pt>
                <c:pt idx="8">
                  <c:v>986800</c:v>
                </c:pt>
                <c:pt idx="9">
                  <c:v>1245766.66666667</c:v>
                </c:pt>
                <c:pt idx="10">
                  <c:v>605166.666666667</c:v>
                </c:pt>
                <c:pt idx="11">
                  <c:v>773300</c:v>
                </c:pt>
                <c:pt idx="12">
                  <c:v>328600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худший</c:f>
              <c:strCache>
                <c:ptCount val="1"/>
                <c:pt idx="0">
                  <c:v>худший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BubbleSort!$E$48:$E$58</c:f>
              <c:numCache>
                <c:formatCode>General</c:formatCode>
                <c:ptCount val="11"/>
                <c:pt idx="0">
                  <c:v>666933.333333333</c:v>
                </c:pt>
                <c:pt idx="1">
                  <c:v>414633.333333333</c:v>
                </c:pt>
                <c:pt idx="2">
                  <c:v>1845566.66666667</c:v>
                </c:pt>
                <c:pt idx="3">
                  <c:v>3569766.66666667</c:v>
                </c:pt>
                <c:pt idx="4">
                  <c:v>1268366.66666667</c:v>
                </c:pt>
                <c:pt idx="5">
                  <c:v>3710200</c:v>
                </c:pt>
                <c:pt idx="6">
                  <c:v>6015766.66666667</c:v>
                </c:pt>
                <c:pt idx="7">
                  <c:v>12261300</c:v>
                </c:pt>
                <c:pt idx="8">
                  <c:v>170568433.333333</c:v>
                </c:pt>
                <c:pt idx="9">
                  <c:v>611873133.333333</c:v>
                </c:pt>
                <c:pt idx="10">
                  <c:v>2067710233.33333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9342263"/>
        <c:axId val="1613937"/>
      </c:lineChart>
      <c:catAx>
        <c:axId val="6934226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613937"/>
        <c:crosses val="autoZero"/>
        <c:auto val="1"/>
        <c:lblAlgn val="ctr"/>
        <c:lblOffset val="100"/>
        <c:noMultiLvlLbl val="0"/>
      </c:catAx>
      <c:valAx>
        <c:axId val="16139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934226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Средний MergeSort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MergeSort!$E$2:$E$14</c:f>
              <c:numCache>
                <c:formatCode>General</c:formatCode>
                <c:ptCount val="13"/>
                <c:pt idx="0">
                  <c:v>721266.666666667</c:v>
                </c:pt>
                <c:pt idx="1">
                  <c:v>63600</c:v>
                </c:pt>
                <c:pt idx="2">
                  <c:v>170300</c:v>
                </c:pt>
                <c:pt idx="3">
                  <c:v>59466.6666666667</c:v>
                </c:pt>
                <c:pt idx="4">
                  <c:v>109700</c:v>
                </c:pt>
                <c:pt idx="5">
                  <c:v>218533.333333333</c:v>
                </c:pt>
                <c:pt idx="6">
                  <c:v>434500</c:v>
                </c:pt>
                <c:pt idx="7">
                  <c:v>865633.333333333</c:v>
                </c:pt>
                <c:pt idx="8">
                  <c:v>4176666.66666667</c:v>
                </c:pt>
                <c:pt idx="9">
                  <c:v>7006033.33333333</c:v>
                </c:pt>
                <c:pt idx="10">
                  <c:v>12360266.6666667</c:v>
                </c:pt>
                <c:pt idx="11">
                  <c:v>22064800</c:v>
                </c:pt>
                <c:pt idx="12">
                  <c:v>47183100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6005585"/>
        <c:axId val="53955678"/>
      </c:lineChart>
      <c:catAx>
        <c:axId val="1600558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3955678"/>
        <c:crosses val="autoZero"/>
        <c:auto val="1"/>
        <c:lblAlgn val="ctr"/>
        <c:lblOffset val="100"/>
        <c:noMultiLvlLbl val="0"/>
      </c:catAx>
      <c:valAx>
        <c:axId val="5395567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600558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x^2 и nlogn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nn</c:f>
              <c:strCache>
                <c:ptCount val="1"/>
                <c:pt idx="0">
                  <c:v>nn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MergeSort!$O$2:$O$17</c:f>
              <c:numCache>
                <c:formatCode>General</c:formatCode>
                <c:ptCount val="16"/>
                <c:pt idx="0">
                  <c:v>100</c:v>
                </c:pt>
                <c:pt idx="1">
                  <c:v>10000</c:v>
                </c:pt>
                <c:pt idx="2">
                  <c:v>40000</c:v>
                </c:pt>
                <c:pt idx="3">
                  <c:v>160000</c:v>
                </c:pt>
                <c:pt idx="4">
                  <c:v>640000</c:v>
                </c:pt>
                <c:pt idx="5">
                  <c:v>2560000</c:v>
                </c:pt>
                <c:pt idx="6">
                  <c:v>10240000</c:v>
                </c:pt>
                <c:pt idx="7">
                  <c:v>40960000</c:v>
                </c:pt>
                <c:pt idx="8">
                  <c:v>163840000</c:v>
                </c:pt>
                <c:pt idx="9">
                  <c:v>655360000</c:v>
                </c:pt>
                <c:pt idx="10">
                  <c:v>2621440000</c:v>
                </c:pt>
                <c:pt idx="11">
                  <c:v>10485760000</c:v>
                </c:pt>
                <c:pt idx="12">
                  <c:v>41943040000</c:v>
                </c:pt>
                <c:pt idx="13">
                  <c:v>167772160000</c:v>
                </c:pt>
                <c:pt idx="14">
                  <c:v>671088640000</c:v>
                </c:pt>
                <c:pt idx="15">
                  <c:v>2684354560000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nlogn</c:f>
              <c:strCache>
                <c:ptCount val="1"/>
                <c:pt idx="0">
                  <c:v>nlogn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MergeSort!$O$26:$O$41</c:f>
              <c:numCache>
                <c:formatCode>General</c:formatCode>
                <c:ptCount val="16"/>
                <c:pt idx="0">
                  <c:v>10</c:v>
                </c:pt>
                <c:pt idx="1">
                  <c:v>664.385618977473</c:v>
                </c:pt>
                <c:pt idx="2">
                  <c:v>1528.77123795494</c:v>
                </c:pt>
                <c:pt idx="3">
                  <c:v>3457.54247590989</c:v>
                </c:pt>
                <c:pt idx="4">
                  <c:v>7715.08495181978</c:v>
                </c:pt>
                <c:pt idx="5">
                  <c:v>17030.1699036396</c:v>
                </c:pt>
                <c:pt idx="6">
                  <c:v>37260.3398072791</c:v>
                </c:pt>
                <c:pt idx="7">
                  <c:v>80920.6796145582</c:v>
                </c:pt>
                <c:pt idx="8">
                  <c:v>174641.359229116</c:v>
                </c:pt>
                <c:pt idx="9">
                  <c:v>374882.718458233</c:v>
                </c:pt>
                <c:pt idx="10">
                  <c:v>800965.436916466</c:v>
                </c:pt>
                <c:pt idx="11">
                  <c:v>1704330.87383293</c:v>
                </c:pt>
                <c:pt idx="12">
                  <c:v>3613461.74766586</c:v>
                </c:pt>
                <c:pt idx="13">
                  <c:v>7636523.49533173</c:v>
                </c:pt>
                <c:pt idx="14">
                  <c:v>16092246.9906635</c:v>
                </c:pt>
                <c:pt idx="15">
                  <c:v>33822893.9813269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0957377"/>
        <c:axId val="34850957"/>
      </c:lineChart>
      <c:catAx>
        <c:axId val="9095737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4850957"/>
        <c:crosses val="autoZero"/>
        <c:auto val="1"/>
        <c:lblAlgn val="ctr"/>
        <c:lblOffset val="100"/>
        <c:noMultiLvlLbl val="0"/>
      </c:catAx>
      <c:valAx>
        <c:axId val="348509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095737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Лучший 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MergeSort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MergeSort!$E$26:$E$38</c:f>
              <c:numCache>
                <c:formatCode>General</c:formatCode>
                <c:ptCount val="13"/>
                <c:pt idx="0">
                  <c:v>706800</c:v>
                </c:pt>
                <c:pt idx="1">
                  <c:v>58000</c:v>
                </c:pt>
                <c:pt idx="2">
                  <c:v>149666.666666667</c:v>
                </c:pt>
                <c:pt idx="3">
                  <c:v>54300</c:v>
                </c:pt>
                <c:pt idx="4">
                  <c:v>81166.6666666667</c:v>
                </c:pt>
                <c:pt idx="5">
                  <c:v>159100</c:v>
                </c:pt>
                <c:pt idx="6">
                  <c:v>211033.333333333</c:v>
                </c:pt>
                <c:pt idx="7">
                  <c:v>488700</c:v>
                </c:pt>
                <c:pt idx="8">
                  <c:v>2543766.66666667</c:v>
                </c:pt>
                <c:pt idx="9">
                  <c:v>5617500</c:v>
                </c:pt>
                <c:pt idx="10">
                  <c:v>10365500</c:v>
                </c:pt>
                <c:pt idx="11">
                  <c:v>15769066.6666667</c:v>
                </c:pt>
                <c:pt idx="12">
                  <c:v>18837366.6666667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2472143"/>
        <c:axId val="65801239"/>
      </c:lineChart>
      <c:catAx>
        <c:axId val="1247214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5801239"/>
        <c:crosses val="autoZero"/>
        <c:auto val="1"/>
        <c:lblAlgn val="ctr"/>
        <c:lblOffset val="100"/>
        <c:noMultiLvlLbl val="0"/>
      </c:catAx>
      <c:valAx>
        <c:axId val="658012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247214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Худший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MergeSort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MergeSort!$E$26:$E$38</c:f>
              <c:numCache>
                <c:formatCode>General</c:formatCode>
                <c:ptCount val="13"/>
                <c:pt idx="0">
                  <c:v>706800</c:v>
                </c:pt>
                <c:pt idx="1">
                  <c:v>58000</c:v>
                </c:pt>
                <c:pt idx="2">
                  <c:v>149666.666666667</c:v>
                </c:pt>
                <c:pt idx="3">
                  <c:v>54300</c:v>
                </c:pt>
                <c:pt idx="4">
                  <c:v>81166.6666666667</c:v>
                </c:pt>
                <c:pt idx="5">
                  <c:v>159100</c:v>
                </c:pt>
                <c:pt idx="6">
                  <c:v>211033.333333333</c:v>
                </c:pt>
                <c:pt idx="7">
                  <c:v>488700</c:v>
                </c:pt>
                <c:pt idx="8">
                  <c:v>2543766.66666667</c:v>
                </c:pt>
                <c:pt idx="9">
                  <c:v>5617500</c:v>
                </c:pt>
                <c:pt idx="10">
                  <c:v>10365500</c:v>
                </c:pt>
                <c:pt idx="11">
                  <c:v>15769066.6666667</c:v>
                </c:pt>
                <c:pt idx="12">
                  <c:v>18837366.6666667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2529368"/>
        <c:axId val="13468471"/>
      </c:lineChart>
      <c:catAx>
        <c:axId val="425293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3468471"/>
        <c:crosses val="autoZero"/>
        <c:auto val="1"/>
        <c:lblAlgn val="ctr"/>
        <c:lblOffset val="100"/>
        <c:noMultiLvlLbl val="0"/>
      </c:catAx>
      <c:valAx>
        <c:axId val="134684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252936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MergeSort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средний</c:f>
              <c:strCache>
                <c:ptCount val="1"/>
                <c:pt idx="0">
                  <c:v>средний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MergeSort!$E$2:$E$14</c:f>
              <c:numCache>
                <c:formatCode>General</c:formatCode>
                <c:ptCount val="13"/>
                <c:pt idx="0">
                  <c:v>721266.666666667</c:v>
                </c:pt>
                <c:pt idx="1">
                  <c:v>63600</c:v>
                </c:pt>
                <c:pt idx="2">
                  <c:v>170300</c:v>
                </c:pt>
                <c:pt idx="3">
                  <c:v>59466.6666666667</c:v>
                </c:pt>
                <c:pt idx="4">
                  <c:v>109700</c:v>
                </c:pt>
                <c:pt idx="5">
                  <c:v>218533.333333333</c:v>
                </c:pt>
                <c:pt idx="6">
                  <c:v>434500</c:v>
                </c:pt>
                <c:pt idx="7">
                  <c:v>865633.333333333</c:v>
                </c:pt>
                <c:pt idx="8">
                  <c:v>4176666.66666667</c:v>
                </c:pt>
                <c:pt idx="9">
                  <c:v>7006033.33333333</c:v>
                </c:pt>
                <c:pt idx="10">
                  <c:v>12360266.6666667</c:v>
                </c:pt>
                <c:pt idx="11">
                  <c:v>22064800</c:v>
                </c:pt>
                <c:pt idx="12">
                  <c:v>47183100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худший</c:f>
              <c:strCache>
                <c:ptCount val="1"/>
                <c:pt idx="0">
                  <c:v>худший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MergeSort!$E$50:$E$62</c:f>
              <c:numCache>
                <c:formatCode>General</c:formatCode>
                <c:ptCount val="13"/>
                <c:pt idx="0">
                  <c:v>637700</c:v>
                </c:pt>
                <c:pt idx="1">
                  <c:v>52566.6666666667</c:v>
                </c:pt>
                <c:pt idx="2">
                  <c:v>145800</c:v>
                </c:pt>
                <c:pt idx="3">
                  <c:v>55233.3333333333</c:v>
                </c:pt>
                <c:pt idx="4">
                  <c:v>79300</c:v>
                </c:pt>
                <c:pt idx="5">
                  <c:v>178166.666666667</c:v>
                </c:pt>
                <c:pt idx="6">
                  <c:v>291133.333333333</c:v>
                </c:pt>
                <c:pt idx="7">
                  <c:v>686566.666666667</c:v>
                </c:pt>
                <c:pt idx="8">
                  <c:v>2908666.66666667</c:v>
                </c:pt>
                <c:pt idx="9">
                  <c:v>4667700</c:v>
                </c:pt>
                <c:pt idx="10">
                  <c:v>12216600</c:v>
                </c:pt>
                <c:pt idx="11">
                  <c:v>18727933.3333333</c:v>
                </c:pt>
                <c:pt idx="12">
                  <c:v>19099066.6666667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лучший</c:f>
              <c:strCache>
                <c:ptCount val="1"/>
                <c:pt idx="0">
                  <c:v>лучший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MergeSort!$E$26:$E$38</c:f>
              <c:numCache>
                <c:formatCode>General</c:formatCode>
                <c:ptCount val="13"/>
                <c:pt idx="0">
                  <c:v>706800</c:v>
                </c:pt>
                <c:pt idx="1">
                  <c:v>58000</c:v>
                </c:pt>
                <c:pt idx="2">
                  <c:v>149666.666666667</c:v>
                </c:pt>
                <c:pt idx="3">
                  <c:v>54300</c:v>
                </c:pt>
                <c:pt idx="4">
                  <c:v>81166.6666666667</c:v>
                </c:pt>
                <c:pt idx="5">
                  <c:v>159100</c:v>
                </c:pt>
                <c:pt idx="6">
                  <c:v>211033.333333333</c:v>
                </c:pt>
                <c:pt idx="7">
                  <c:v>488700</c:v>
                </c:pt>
                <c:pt idx="8">
                  <c:v>2543766.66666667</c:v>
                </c:pt>
                <c:pt idx="9">
                  <c:v>5617500</c:v>
                </c:pt>
                <c:pt idx="10">
                  <c:v>10365500</c:v>
                </c:pt>
                <c:pt idx="11">
                  <c:v>15769066.6666667</c:v>
                </c:pt>
                <c:pt idx="12">
                  <c:v>18837366.6666667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0383510"/>
        <c:axId val="70860172"/>
      </c:lineChart>
      <c:catAx>
        <c:axId val="3038351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0860172"/>
        <c:crosses val="autoZero"/>
        <c:auto val="1"/>
        <c:lblAlgn val="ctr"/>
        <c:lblOffset val="100"/>
        <c:noMultiLvlLbl val="0"/>
      </c:catAx>
      <c:valAx>
        <c:axId val="7086017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038351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nlgon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nlogn</c:f>
              <c:strCache>
                <c:ptCount val="1"/>
                <c:pt idx="0">
                  <c:v>nlogn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MergeSort!$O$26:$O$41</c:f>
              <c:numCache>
                <c:formatCode>General</c:formatCode>
                <c:ptCount val="16"/>
                <c:pt idx="0">
                  <c:v>10</c:v>
                </c:pt>
                <c:pt idx="1">
                  <c:v>664.385618977473</c:v>
                </c:pt>
                <c:pt idx="2">
                  <c:v>1528.77123795494</c:v>
                </c:pt>
                <c:pt idx="3">
                  <c:v>3457.54247590989</c:v>
                </c:pt>
                <c:pt idx="4">
                  <c:v>7715.08495181978</c:v>
                </c:pt>
                <c:pt idx="5">
                  <c:v>17030.1699036396</c:v>
                </c:pt>
                <c:pt idx="6">
                  <c:v>37260.3398072791</c:v>
                </c:pt>
                <c:pt idx="7">
                  <c:v>80920.6796145582</c:v>
                </c:pt>
                <c:pt idx="8">
                  <c:v>174641.359229116</c:v>
                </c:pt>
                <c:pt idx="9">
                  <c:v>374882.718458233</c:v>
                </c:pt>
                <c:pt idx="10">
                  <c:v>800965.436916466</c:v>
                </c:pt>
                <c:pt idx="11">
                  <c:v>1704330.87383293</c:v>
                </c:pt>
                <c:pt idx="12">
                  <c:v>3613461.74766586</c:v>
                </c:pt>
                <c:pt idx="13">
                  <c:v>7636523.49533173</c:v>
                </c:pt>
                <c:pt idx="14">
                  <c:v>16092246.9906635</c:v>
                </c:pt>
                <c:pt idx="15">
                  <c:v>33822893.9813269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9642695"/>
        <c:axId val="75184833"/>
      </c:lineChart>
      <c:catAx>
        <c:axId val="6964269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5184833"/>
        <c:crosses val="autoZero"/>
        <c:auto val="1"/>
        <c:lblAlgn val="ctr"/>
        <c:lblOffset val="100"/>
        <c:noMultiLvlLbl val="0"/>
      </c:catAx>
      <c:valAx>
        <c:axId val="751848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964269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merge_sort</c:f>
              <c:strCache>
                <c:ptCount val="1"/>
                <c:pt idx="0">
                  <c:v>merge_sort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BubbleMergeSort!$E$2:$E$14</c:f>
              <c:numCache>
                <c:formatCode>General</c:formatCode>
                <c:ptCount val="13"/>
                <c:pt idx="0">
                  <c:v>721266.666666667</c:v>
                </c:pt>
                <c:pt idx="1">
                  <c:v>63600</c:v>
                </c:pt>
                <c:pt idx="2">
                  <c:v>170300</c:v>
                </c:pt>
                <c:pt idx="3">
                  <c:v>59466.6666666667</c:v>
                </c:pt>
                <c:pt idx="4">
                  <c:v>109700</c:v>
                </c:pt>
                <c:pt idx="5">
                  <c:v>218533.333333333</c:v>
                </c:pt>
                <c:pt idx="6">
                  <c:v>434500</c:v>
                </c:pt>
                <c:pt idx="7">
                  <c:v>865633.333333333</c:v>
                </c:pt>
                <c:pt idx="8">
                  <c:v>4176666.66666667</c:v>
                </c:pt>
                <c:pt idx="9">
                  <c:v>7006033.33333333</c:v>
                </c:pt>
                <c:pt idx="10">
                  <c:v>12360266.6666667</c:v>
                </c:pt>
                <c:pt idx="11">
                  <c:v>22064800</c:v>
                </c:pt>
                <c:pt idx="12">
                  <c:v>47183100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bubble_sort</c:f>
              <c:strCache>
                <c:ptCount val="1"/>
                <c:pt idx="0">
                  <c:v>bubble_sort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BubbleMergeSort!$E$19:$E$29</c:f>
              <c:numCache>
                <c:formatCode>General</c:formatCode>
                <c:ptCount val="11"/>
                <c:pt idx="0">
                  <c:v>4908633.33333333</c:v>
                </c:pt>
                <c:pt idx="1">
                  <c:v>286100</c:v>
                </c:pt>
                <c:pt idx="2">
                  <c:v>1159466.66666667</c:v>
                </c:pt>
                <c:pt idx="3">
                  <c:v>2977233.33333333</c:v>
                </c:pt>
                <c:pt idx="4">
                  <c:v>1480133.33333333</c:v>
                </c:pt>
                <c:pt idx="5">
                  <c:v>3698733.33333333</c:v>
                </c:pt>
                <c:pt idx="6">
                  <c:v>6862833.33333333</c:v>
                </c:pt>
                <c:pt idx="7">
                  <c:v>19422000</c:v>
                </c:pt>
                <c:pt idx="8">
                  <c:v>601730200</c:v>
                </c:pt>
                <c:pt idx="9">
                  <c:v>2781401166.66667</c:v>
                </c:pt>
                <c:pt idx="10">
                  <c:v>12950858866.6667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3362784"/>
        <c:axId val="84485834"/>
      </c:lineChart>
      <c:catAx>
        <c:axId val="333627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4485834"/>
        <c:crosses val="autoZero"/>
        <c:auto val="1"/>
        <c:lblAlgn val="ctr"/>
        <c:lblOffset val="100"/>
        <c:noMultiLvlLbl val="0"/>
      </c:catAx>
      <c:valAx>
        <c:axId val="844858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336278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merge_sort</c:f>
              <c:strCache>
                <c:ptCount val="1"/>
                <c:pt idx="0">
                  <c:v>merge_sort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BubbleMergeSort!$E$2:$E$14</c:f>
              <c:numCache>
                <c:formatCode>General</c:formatCode>
                <c:ptCount val="13"/>
                <c:pt idx="0">
                  <c:v>721266.666666667</c:v>
                </c:pt>
                <c:pt idx="1">
                  <c:v>63600</c:v>
                </c:pt>
                <c:pt idx="2">
                  <c:v>170300</c:v>
                </c:pt>
                <c:pt idx="3">
                  <c:v>59466.6666666667</c:v>
                </c:pt>
                <c:pt idx="4">
                  <c:v>109700</c:v>
                </c:pt>
                <c:pt idx="5">
                  <c:v>218533.333333333</c:v>
                </c:pt>
                <c:pt idx="6">
                  <c:v>434500</c:v>
                </c:pt>
                <c:pt idx="7">
                  <c:v>865633.333333333</c:v>
                </c:pt>
                <c:pt idx="8">
                  <c:v>4176666.66666667</c:v>
                </c:pt>
                <c:pt idx="9">
                  <c:v>7006033.33333333</c:v>
                </c:pt>
                <c:pt idx="10">
                  <c:v>12360266.6666667</c:v>
                </c:pt>
                <c:pt idx="11">
                  <c:v>22064800</c:v>
                </c:pt>
                <c:pt idx="12">
                  <c:v>47183100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45146179"/>
        <c:axId val="68476057"/>
      </c:lineChart>
      <c:catAx>
        <c:axId val="4514617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8476057"/>
        <c:crosses val="autoZero"/>
        <c:auto val="1"/>
        <c:lblAlgn val="ctr"/>
        <c:lblOffset val="100"/>
        <c:noMultiLvlLbl val="0"/>
      </c:catAx>
      <c:valAx>
        <c:axId val="684760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514617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emf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emf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51120</xdr:colOff>
      <xdr:row>25</xdr:row>
      <xdr:rowOff>23400</xdr:rowOff>
    </xdr:from>
    <xdr:to>
      <xdr:col>11</xdr:col>
      <xdr:colOff>587520</xdr:colOff>
      <xdr:row>43</xdr:row>
      <xdr:rowOff>138960</xdr:rowOff>
    </xdr:to>
    <xdr:graphicFrame>
      <xdr:nvGraphicFramePr>
        <xdr:cNvPr id="1" name=""/>
        <xdr:cNvGraphicFramePr/>
      </xdr:nvGraphicFramePr>
      <xdr:xfrm>
        <a:off x="4601520" y="4087440"/>
        <a:ext cx="5413320" cy="304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11160</xdr:colOff>
      <xdr:row>47</xdr:row>
      <xdr:rowOff>49680</xdr:rowOff>
    </xdr:from>
    <xdr:to>
      <xdr:col>12</xdr:col>
      <xdr:colOff>79920</xdr:colOff>
      <xdr:row>67</xdr:row>
      <xdr:rowOff>33840</xdr:rowOff>
    </xdr:to>
    <xdr:graphicFrame>
      <xdr:nvGraphicFramePr>
        <xdr:cNvPr id="2" name=""/>
        <xdr:cNvGraphicFramePr/>
      </xdr:nvGraphicFramePr>
      <xdr:xfrm>
        <a:off x="4561560" y="7689960"/>
        <a:ext cx="5758200" cy="323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10080</xdr:colOff>
      <xdr:row>1</xdr:row>
      <xdr:rowOff>25560</xdr:rowOff>
    </xdr:from>
    <xdr:to>
      <xdr:col>12</xdr:col>
      <xdr:colOff>86400</xdr:colOff>
      <xdr:row>21</xdr:row>
      <xdr:rowOff>8280</xdr:rowOff>
    </xdr:to>
    <xdr:graphicFrame>
      <xdr:nvGraphicFramePr>
        <xdr:cNvPr id="3" name="f"/>
        <xdr:cNvGraphicFramePr/>
      </xdr:nvGraphicFramePr>
      <xdr:xfrm>
        <a:off x="4560480" y="188280"/>
        <a:ext cx="5765760" cy="3233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25920</xdr:colOff>
      <xdr:row>1</xdr:row>
      <xdr:rowOff>0</xdr:rowOff>
    </xdr:from>
    <xdr:to>
      <xdr:col>22</xdr:col>
      <xdr:colOff>42480</xdr:colOff>
      <xdr:row>22</xdr:row>
      <xdr:rowOff>59760</xdr:rowOff>
    </xdr:to>
    <xdr:graphicFrame>
      <xdr:nvGraphicFramePr>
        <xdr:cNvPr id="4" name=""/>
        <xdr:cNvGraphicFramePr/>
      </xdr:nvGraphicFramePr>
      <xdr:xfrm>
        <a:off x="12704400" y="162720"/>
        <a:ext cx="5706000" cy="347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34920</xdr:colOff>
      <xdr:row>46</xdr:row>
      <xdr:rowOff>119880</xdr:rowOff>
    </xdr:from>
    <xdr:to>
      <xdr:col>20</xdr:col>
      <xdr:colOff>110880</xdr:colOff>
      <xdr:row>66</xdr:row>
      <xdr:rowOff>102600</xdr:rowOff>
    </xdr:to>
    <xdr:graphicFrame>
      <xdr:nvGraphicFramePr>
        <xdr:cNvPr id="5" name="f 1"/>
        <xdr:cNvGraphicFramePr/>
      </xdr:nvGraphicFramePr>
      <xdr:xfrm>
        <a:off x="11087640" y="7597800"/>
        <a:ext cx="5765760" cy="3233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1295280</xdr:colOff>
      <xdr:row>1</xdr:row>
      <xdr:rowOff>1080</xdr:rowOff>
    </xdr:from>
    <xdr:to>
      <xdr:col>12</xdr:col>
      <xdr:colOff>65160</xdr:colOff>
      <xdr:row>20</xdr:row>
      <xdr:rowOff>147960</xdr:rowOff>
    </xdr:to>
    <xdr:graphicFrame>
      <xdr:nvGraphicFramePr>
        <xdr:cNvPr id="6" name=""/>
        <xdr:cNvGraphicFramePr/>
      </xdr:nvGraphicFramePr>
      <xdr:xfrm>
        <a:off x="4546440" y="163800"/>
        <a:ext cx="5758560" cy="323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481680</xdr:colOff>
      <xdr:row>1</xdr:row>
      <xdr:rowOff>154440</xdr:rowOff>
    </xdr:from>
    <xdr:to>
      <xdr:col>22</xdr:col>
      <xdr:colOff>551520</xdr:colOff>
      <xdr:row>22</xdr:row>
      <xdr:rowOff>162360</xdr:rowOff>
    </xdr:to>
    <xdr:graphicFrame>
      <xdr:nvGraphicFramePr>
        <xdr:cNvPr id="7" name=""/>
        <xdr:cNvGraphicFramePr/>
      </xdr:nvGraphicFramePr>
      <xdr:xfrm>
        <a:off x="13160160" y="317160"/>
        <a:ext cx="5759280" cy="342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1440</xdr:colOff>
      <xdr:row>25</xdr:row>
      <xdr:rowOff>0</xdr:rowOff>
    </xdr:from>
    <xdr:to>
      <xdr:col>12</xdr:col>
      <xdr:colOff>70560</xdr:colOff>
      <xdr:row>44</xdr:row>
      <xdr:rowOff>146880</xdr:rowOff>
    </xdr:to>
    <xdr:graphicFrame>
      <xdr:nvGraphicFramePr>
        <xdr:cNvPr id="9" name=""/>
        <xdr:cNvGraphicFramePr/>
      </xdr:nvGraphicFramePr>
      <xdr:xfrm>
        <a:off x="4551840" y="4064040"/>
        <a:ext cx="5758560" cy="323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27720</xdr:colOff>
      <xdr:row>48</xdr:row>
      <xdr:rowOff>136800</xdr:rowOff>
    </xdr:from>
    <xdr:to>
      <xdr:col>12</xdr:col>
      <xdr:colOff>96840</xdr:colOff>
      <xdr:row>68</xdr:row>
      <xdr:rowOff>120960</xdr:rowOff>
    </xdr:to>
    <xdr:graphicFrame>
      <xdr:nvGraphicFramePr>
        <xdr:cNvPr id="10" name=""/>
        <xdr:cNvGraphicFramePr/>
      </xdr:nvGraphicFramePr>
      <xdr:xfrm>
        <a:off x="4578120" y="7939800"/>
        <a:ext cx="5758560" cy="323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719640</xdr:colOff>
      <xdr:row>49</xdr:row>
      <xdr:rowOff>110880</xdr:rowOff>
    </xdr:from>
    <xdr:to>
      <xdr:col>19</xdr:col>
      <xdr:colOff>788400</xdr:colOff>
      <xdr:row>69</xdr:row>
      <xdr:rowOff>95040</xdr:rowOff>
    </xdr:to>
    <xdr:graphicFrame>
      <xdr:nvGraphicFramePr>
        <xdr:cNvPr id="11" name=""/>
        <xdr:cNvGraphicFramePr/>
      </xdr:nvGraphicFramePr>
      <xdr:xfrm>
        <a:off x="10959480" y="8076240"/>
        <a:ext cx="5758560" cy="323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1440</xdr:colOff>
      <xdr:row>25</xdr:row>
      <xdr:rowOff>54360</xdr:rowOff>
    </xdr:from>
    <xdr:to>
      <xdr:col>23</xdr:col>
      <xdr:colOff>71280</xdr:colOff>
      <xdr:row>45</xdr:row>
      <xdr:rowOff>42480</xdr:rowOff>
    </xdr:to>
    <xdr:graphicFrame>
      <xdr:nvGraphicFramePr>
        <xdr:cNvPr id="12" name=""/>
        <xdr:cNvGraphicFramePr/>
      </xdr:nvGraphicFramePr>
      <xdr:xfrm>
        <a:off x="13492800" y="411840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</cdr:x>
      <cdr:y>0</cdr:y>
    </cdr:from>
    <cdr:to>
      <cdr:x>0.0624414025876617</cdr:x>
      <cdr:y>0.110994213571804</cdr:y>
    </cdr:to>
    <cdr:pic>
      <cdr:nvPicPr>
        <cdr:cNvPr id="8" name=""/>
        <cdr:cNvPicPr/>
      </cdr:nvPicPr>
      <cdr:blipFill>
        <a:blip r:embed="rId1"/>
        <a:stretch/>
      </cdr:blipFill>
      <cdr:spPr>
        <a:xfrm>
          <a:off x="0" y="0"/>
          <a:ext cx="359640" cy="379800"/>
        </a:xfrm>
        <a:prstGeom prst="rect">
          <a:avLst/>
        </a:prstGeom>
        <a:noFill/>
        <a:ln w="0">
          <a:noFill/>
        </a:ln>
      </cdr:spPr>
    </cdr:pic>
  </cdr:relSizeAnchor>
</c:userShapes>
</file>

<file path=xl/drawings/drawing4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</cdr:x>
      <cdr:y>0</cdr:y>
    </cdr:from>
    <cdr:to>
      <cdr:x>0.0624414025876617</cdr:x>
      <cdr:y>0.111012334703856</cdr:y>
    </cdr:to>
    <cdr:pic>
      <cdr:nvPicPr>
        <cdr:cNvPr id="13" name=""/>
        <cdr:cNvPicPr/>
      </cdr:nvPicPr>
      <cdr:blipFill>
        <a:blip r:embed="rId1"/>
        <a:stretch/>
      </cdr:blipFill>
      <cdr:spPr>
        <a:xfrm>
          <a:off x="0" y="0"/>
          <a:ext cx="359640" cy="359640"/>
        </a:xfrm>
        <a:prstGeom prst="rect">
          <a:avLst/>
        </a:prstGeom>
        <a:noFill/>
        <a:ln w="0">
          <a:noFill/>
        </a:ln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597240</xdr:colOff>
      <xdr:row>20</xdr:row>
      <xdr:rowOff>152640</xdr:rowOff>
    </xdr:from>
    <xdr:to>
      <xdr:col>14</xdr:col>
      <xdr:colOff>487440</xdr:colOff>
      <xdr:row>43</xdr:row>
      <xdr:rowOff>9000</xdr:rowOff>
    </xdr:to>
    <xdr:graphicFrame>
      <xdr:nvGraphicFramePr>
        <xdr:cNvPr id="14" name=""/>
        <xdr:cNvGraphicFramePr/>
      </xdr:nvGraphicFramePr>
      <xdr:xfrm>
        <a:off x="5474160" y="3403800"/>
        <a:ext cx="6392520" cy="359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25920</xdr:colOff>
      <xdr:row>1</xdr:row>
      <xdr:rowOff>0</xdr:rowOff>
    </xdr:from>
    <xdr:to>
      <xdr:col>14</xdr:col>
      <xdr:colOff>93600</xdr:colOff>
      <xdr:row>20</xdr:row>
      <xdr:rowOff>153720</xdr:rowOff>
    </xdr:to>
    <xdr:graphicFrame>
      <xdr:nvGraphicFramePr>
        <xdr:cNvPr id="15" name=""/>
        <xdr:cNvGraphicFramePr/>
      </xdr:nvGraphicFramePr>
      <xdr:xfrm>
        <a:off x="5715360" y="162720"/>
        <a:ext cx="5757480" cy="324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0"/>
  <sheetViews>
    <sheetView showFormulas="false" showGridLines="true" showRowColHeaders="true" showZeros="true" rightToLeft="false" tabSelected="true" showOutlineSymbols="true" defaultGridColor="true" view="normal" topLeftCell="B22" colorId="64" zoomScale="85" zoomScaleNormal="85" zoomScalePageLayoutView="100" workbookViewId="0">
      <selection pane="topLeft" activeCell="O31" activeCellId="0" sqref="O3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5" min="5" style="1" width="18.43"/>
  </cols>
  <sheetData>
    <row r="1" customFormat="false" ht="12.8" hidden="false" customHeight="false" outlineLevel="0" collapsed="false">
      <c r="A1" s="1" t="s">
        <v>0</v>
      </c>
      <c r="B1" s="1" t="n">
        <v>1</v>
      </c>
      <c r="C1" s="1" t="n">
        <v>2</v>
      </c>
      <c r="D1" s="1" t="n">
        <v>3</v>
      </c>
    </row>
    <row r="2" customFormat="false" ht="12.8" hidden="false" customHeight="false" outlineLevel="0" collapsed="false">
      <c r="A2" s="1" t="n">
        <v>10</v>
      </c>
      <c r="B2" s="1" t="n">
        <v>620200</v>
      </c>
      <c r="C2" s="1" t="n">
        <v>591400</v>
      </c>
      <c r="D2" s="1" t="n">
        <v>617600</v>
      </c>
      <c r="E2" s="1" t="n">
        <f aca="false">AVERAGE(B2:D2)</f>
        <v>609733.333333333</v>
      </c>
      <c r="N2" s="1" t="n">
        <v>10</v>
      </c>
      <c r="O2" s="1" t="n">
        <f aca="false">N2*2</f>
        <v>20</v>
      </c>
    </row>
    <row r="3" customFormat="false" ht="12.8" hidden="false" customHeight="false" outlineLevel="0" collapsed="false">
      <c r="A3" s="1" t="n">
        <v>100</v>
      </c>
      <c r="B3" s="1" t="n">
        <v>338600</v>
      </c>
      <c r="C3" s="1" t="n">
        <v>299800</v>
      </c>
      <c r="D3" s="1" t="n">
        <v>346500</v>
      </c>
      <c r="E3" s="1" t="n">
        <f aca="false">AVERAGE(B3:D3)</f>
        <v>328300</v>
      </c>
      <c r="N3" s="1" t="n">
        <v>100</v>
      </c>
      <c r="O3" s="1" t="n">
        <f aca="false">N3*2</f>
        <v>200</v>
      </c>
    </row>
    <row r="4" customFormat="false" ht="12.8" hidden="false" customHeight="false" outlineLevel="0" collapsed="false">
      <c r="A4" s="1" t="n">
        <f aca="false">A3*2</f>
        <v>200</v>
      </c>
      <c r="B4" s="1" t="n">
        <v>1259200</v>
      </c>
      <c r="C4" s="1" t="n">
        <v>1196700</v>
      </c>
      <c r="D4" s="1" t="n">
        <v>959600</v>
      </c>
      <c r="E4" s="1" t="n">
        <f aca="false">AVERAGE(B4:D4)</f>
        <v>1138500</v>
      </c>
      <c r="N4" s="1" t="n">
        <f aca="false">N3*2</f>
        <v>200</v>
      </c>
      <c r="O4" s="1" t="n">
        <f aca="false">N4*2</f>
        <v>400</v>
      </c>
    </row>
    <row r="5" customFormat="false" ht="12.8" hidden="false" customHeight="false" outlineLevel="0" collapsed="false">
      <c r="A5" s="1" t="n">
        <f aca="false">A4*2</f>
        <v>400</v>
      </c>
      <c r="B5" s="1" t="n">
        <v>3156300</v>
      </c>
      <c r="C5" s="1" t="n">
        <v>2963700</v>
      </c>
      <c r="D5" s="1" t="n">
        <v>3960500</v>
      </c>
      <c r="E5" s="1" t="n">
        <f aca="false">AVERAGE(B5:D5)</f>
        <v>3360166.66666667</v>
      </c>
      <c r="N5" s="1" t="n">
        <f aca="false">N4*2</f>
        <v>400</v>
      </c>
      <c r="O5" s="1" t="n">
        <f aca="false">N5*2</f>
        <v>800</v>
      </c>
    </row>
    <row r="6" customFormat="false" ht="12.8" hidden="false" customHeight="false" outlineLevel="0" collapsed="false">
      <c r="A6" s="1" t="n">
        <f aca="false">A5*2</f>
        <v>800</v>
      </c>
      <c r="B6" s="1" t="n">
        <v>2100300</v>
      </c>
      <c r="C6" s="1" t="n">
        <v>1257300</v>
      </c>
      <c r="D6" s="1" t="n">
        <v>1332600</v>
      </c>
      <c r="E6" s="1" t="n">
        <f aca="false">AVERAGE(B6:D6)</f>
        <v>1563400</v>
      </c>
      <c r="N6" s="1" t="n">
        <f aca="false">N5*2</f>
        <v>800</v>
      </c>
      <c r="O6" s="1" t="n">
        <f aca="false">N6*2</f>
        <v>1600</v>
      </c>
    </row>
    <row r="7" customFormat="false" ht="12.8" hidden="false" customHeight="false" outlineLevel="0" collapsed="false">
      <c r="A7" s="1" t="n">
        <f aca="false">A6*2</f>
        <v>1600</v>
      </c>
      <c r="B7" s="1" t="n">
        <v>2929000</v>
      </c>
      <c r="C7" s="1" t="n">
        <v>5746500</v>
      </c>
      <c r="D7" s="1" t="n">
        <v>5430800</v>
      </c>
      <c r="E7" s="1" t="n">
        <f aca="false">AVERAGE(B7:D7)</f>
        <v>4702100</v>
      </c>
      <c r="N7" s="1" t="n">
        <f aca="false">N6*2</f>
        <v>1600</v>
      </c>
      <c r="O7" s="1" t="n">
        <f aca="false">N7*2</f>
        <v>3200</v>
      </c>
    </row>
    <row r="8" customFormat="false" ht="12.8" hidden="false" customHeight="false" outlineLevel="0" collapsed="false">
      <c r="A8" s="1" t="n">
        <f aca="false">A7*2</f>
        <v>3200</v>
      </c>
      <c r="B8" s="1" t="n">
        <v>7516100</v>
      </c>
      <c r="C8" s="1" t="n">
        <v>6572900</v>
      </c>
      <c r="D8" s="1" t="n">
        <v>7084000</v>
      </c>
      <c r="E8" s="1" t="n">
        <f aca="false">AVERAGE(B8:D8)</f>
        <v>7057666.66666667</v>
      </c>
      <c r="N8" s="1" t="n">
        <f aca="false">N7*2</f>
        <v>3200</v>
      </c>
      <c r="O8" s="1" t="n">
        <f aca="false">N8*2</f>
        <v>6400</v>
      </c>
    </row>
    <row r="9" customFormat="false" ht="12.8" hidden="false" customHeight="false" outlineLevel="0" collapsed="false">
      <c r="A9" s="1" t="n">
        <f aca="false">A8*2</f>
        <v>6400</v>
      </c>
      <c r="B9" s="1" t="n">
        <v>23868100</v>
      </c>
      <c r="C9" s="1" t="n">
        <v>20854600</v>
      </c>
      <c r="D9" s="1" t="n">
        <v>21467000</v>
      </c>
      <c r="E9" s="1" t="n">
        <f aca="false">AVERAGE(B9:D9)</f>
        <v>22063233.3333333</v>
      </c>
      <c r="N9" s="1" t="n">
        <f aca="false">N8*2</f>
        <v>6400</v>
      </c>
      <c r="O9" s="1" t="n">
        <f aca="false">N9*2</f>
        <v>12800</v>
      </c>
    </row>
    <row r="10" customFormat="false" ht="12.8" hidden="false" customHeight="false" outlineLevel="0" collapsed="false">
      <c r="A10" s="1" t="n">
        <f aca="false">A9*2</f>
        <v>12800</v>
      </c>
      <c r="B10" s="1" t="n">
        <v>677227500</v>
      </c>
      <c r="C10" s="1" t="n">
        <v>669446000</v>
      </c>
      <c r="D10" s="1" t="n">
        <v>687461300</v>
      </c>
      <c r="E10" s="1" t="n">
        <f aca="false">AVERAGE(B10:D10)</f>
        <v>678044933.333333</v>
      </c>
      <c r="N10" s="1" t="n">
        <f aca="false">N9*2</f>
        <v>12800</v>
      </c>
      <c r="O10" s="1" t="n">
        <f aca="false">N10*2</f>
        <v>25600</v>
      </c>
    </row>
    <row r="11" customFormat="false" ht="12.8" hidden="false" customHeight="false" outlineLevel="0" collapsed="false">
      <c r="A11" s="1" t="n">
        <f aca="false">A10*2</f>
        <v>25600</v>
      </c>
      <c r="B11" s="1" t="n">
        <v>2530251100</v>
      </c>
      <c r="C11" s="1" t="n">
        <v>2676483400</v>
      </c>
      <c r="D11" s="1" t="n">
        <v>3311214200</v>
      </c>
      <c r="E11" s="1" t="n">
        <f aca="false">AVERAGE(B11:D11)</f>
        <v>2839316233.33333</v>
      </c>
      <c r="N11" s="1" t="n">
        <f aca="false">N10*2</f>
        <v>25600</v>
      </c>
      <c r="O11" s="1" t="n">
        <f aca="false">N11*2</f>
        <v>51200</v>
      </c>
    </row>
    <row r="12" customFormat="false" ht="12.8" hidden="false" customHeight="false" outlineLevel="0" collapsed="false">
      <c r="A12" s="1" t="n">
        <f aca="false">A11*2</f>
        <v>51200</v>
      </c>
      <c r="B12" s="1" t="n">
        <v>10287626600</v>
      </c>
      <c r="C12" s="1" t="n">
        <v>12147025600</v>
      </c>
      <c r="D12" s="1" t="n">
        <v>10701073800</v>
      </c>
      <c r="E12" s="1" t="n">
        <f aca="false">AVERAGE(B12:D12)</f>
        <v>11045242000</v>
      </c>
      <c r="N12" s="1" t="n">
        <f aca="false">N11*2</f>
        <v>51200</v>
      </c>
      <c r="O12" s="1" t="n">
        <f aca="false">N12*2</f>
        <v>102400</v>
      </c>
    </row>
    <row r="13" customFormat="false" ht="12.8" hidden="false" customHeight="false" outlineLevel="0" collapsed="false">
      <c r="A13" s="1" t="n">
        <f aca="false">A12*2</f>
        <v>102400</v>
      </c>
      <c r="N13" s="1" t="n">
        <f aca="false">N12*2</f>
        <v>102400</v>
      </c>
      <c r="O13" s="1" t="n">
        <f aca="false">N13*2</f>
        <v>204800</v>
      </c>
    </row>
    <row r="14" customFormat="false" ht="12.8" hidden="false" customHeight="false" outlineLevel="0" collapsed="false">
      <c r="A14" s="1" t="n">
        <f aca="false">A13*2</f>
        <v>204800</v>
      </c>
      <c r="N14" s="1" t="n">
        <f aca="false">N13*2</f>
        <v>204800</v>
      </c>
      <c r="O14" s="1" t="n">
        <f aca="false">N14*2</f>
        <v>409600</v>
      </c>
    </row>
    <row r="15" customFormat="false" ht="12.8" hidden="false" customHeight="false" outlineLevel="0" collapsed="false">
      <c r="N15" s="1" t="n">
        <f aca="false">N14*2</f>
        <v>409600</v>
      </c>
      <c r="O15" s="1" t="n">
        <f aca="false">N15*2</f>
        <v>819200</v>
      </c>
    </row>
    <row r="16" customFormat="false" ht="12.8" hidden="false" customHeight="false" outlineLevel="0" collapsed="false">
      <c r="N16" s="1" t="n">
        <f aca="false">N15*2</f>
        <v>819200</v>
      </c>
      <c r="O16" s="1" t="n">
        <f aca="false">N16*2</f>
        <v>1638400</v>
      </c>
    </row>
    <row r="17" customFormat="false" ht="12.8" hidden="false" customHeight="false" outlineLevel="0" collapsed="false">
      <c r="N17" s="1" t="n">
        <f aca="false">N16*2</f>
        <v>1638400</v>
      </c>
      <c r="O17" s="1" t="n">
        <f aca="false">N17*2</f>
        <v>3276800</v>
      </c>
    </row>
    <row r="25" customFormat="false" ht="12.8" hidden="false" customHeight="false" outlineLevel="0" collapsed="false">
      <c r="A25" s="1" t="s">
        <v>0</v>
      </c>
      <c r="B25" s="1" t="n">
        <v>1</v>
      </c>
      <c r="C25" s="1" t="n">
        <v>2</v>
      </c>
      <c r="D25" s="1" t="n">
        <v>3</v>
      </c>
    </row>
    <row r="26" customFormat="false" ht="12.8" hidden="false" customHeight="false" outlineLevel="0" collapsed="false">
      <c r="A26" s="1" t="n">
        <v>10</v>
      </c>
      <c r="B26" s="1" t="n">
        <v>698900</v>
      </c>
      <c r="C26" s="1" t="n">
        <v>553900</v>
      </c>
      <c r="D26" s="1" t="n">
        <v>553900</v>
      </c>
      <c r="E26" s="1" t="n">
        <f aca="false">AVERAGE(B26:D26)</f>
        <v>602233.333333333</v>
      </c>
    </row>
    <row r="27" customFormat="false" ht="12.8" hidden="false" customHeight="false" outlineLevel="0" collapsed="false">
      <c r="A27" s="1" t="n">
        <v>100</v>
      </c>
      <c r="B27" s="1" t="n">
        <v>5300</v>
      </c>
      <c r="C27" s="1" t="n">
        <v>5300</v>
      </c>
      <c r="D27" s="1" t="n">
        <v>5300</v>
      </c>
      <c r="E27" s="1" t="n">
        <f aca="false">AVERAGE(B27:D27)</f>
        <v>5300</v>
      </c>
    </row>
    <row r="28" customFormat="false" ht="12.8" hidden="false" customHeight="false" outlineLevel="0" collapsed="false">
      <c r="A28" s="1" t="n">
        <f aca="false">A27*2</f>
        <v>200</v>
      </c>
      <c r="B28" s="1" t="n">
        <v>7900</v>
      </c>
      <c r="C28" s="1" t="n">
        <v>8700</v>
      </c>
      <c r="D28" s="1" t="n">
        <v>8700</v>
      </c>
      <c r="E28" s="1" t="n">
        <f aca="false">AVERAGE(B28:D28)</f>
        <v>8433.33333333333</v>
      </c>
    </row>
    <row r="29" customFormat="false" ht="12.8" hidden="false" customHeight="false" outlineLevel="0" collapsed="false">
      <c r="A29" s="1" t="n">
        <f aca="false">A28*2</f>
        <v>400</v>
      </c>
      <c r="B29" s="1" t="n">
        <v>20600</v>
      </c>
      <c r="C29" s="1" t="n">
        <v>15600</v>
      </c>
      <c r="D29" s="1" t="n">
        <v>15600</v>
      </c>
      <c r="E29" s="1" t="n">
        <f aca="false">AVERAGE(B29:D29)</f>
        <v>17266.6666666667</v>
      </c>
    </row>
    <row r="30" customFormat="false" ht="12.8" hidden="false" customHeight="false" outlineLevel="0" collapsed="false">
      <c r="A30" s="1" t="n">
        <f aca="false">A29*2</f>
        <v>800</v>
      </c>
      <c r="B30" s="1" t="n">
        <v>39100</v>
      </c>
      <c r="C30" s="1" t="n">
        <v>33600</v>
      </c>
      <c r="D30" s="1" t="n">
        <v>33600</v>
      </c>
      <c r="E30" s="1" t="n">
        <f aca="false">AVERAGE(B30:D30)</f>
        <v>35433.3333333333</v>
      </c>
    </row>
    <row r="31" customFormat="false" ht="12.8" hidden="false" customHeight="false" outlineLevel="0" collapsed="false">
      <c r="A31" s="1" t="n">
        <f aca="false">A30*2</f>
        <v>1600</v>
      </c>
      <c r="B31" s="1" t="n">
        <v>54600</v>
      </c>
      <c r="C31" s="1" t="n">
        <v>68000</v>
      </c>
      <c r="D31" s="1" t="n">
        <v>68000</v>
      </c>
      <c r="E31" s="1" t="n">
        <f aca="false">AVERAGE(B31:D31)</f>
        <v>63533.3333333333</v>
      </c>
    </row>
    <row r="32" customFormat="false" ht="12.8" hidden="false" customHeight="false" outlineLevel="0" collapsed="false">
      <c r="A32" s="1" t="n">
        <f aca="false">A31*2</f>
        <v>3200</v>
      </c>
      <c r="B32" s="1" t="n">
        <v>151900</v>
      </c>
      <c r="C32" s="1" t="n">
        <v>138400</v>
      </c>
      <c r="D32" s="1" t="n">
        <v>138400</v>
      </c>
      <c r="E32" s="1" t="n">
        <f aca="false">AVERAGE(B32:D32)</f>
        <v>142900</v>
      </c>
    </row>
    <row r="33" customFormat="false" ht="12.8" hidden="false" customHeight="false" outlineLevel="0" collapsed="false">
      <c r="A33" s="1" t="n">
        <f aca="false">A32*2</f>
        <v>6400</v>
      </c>
      <c r="B33" s="1" t="n">
        <v>286400</v>
      </c>
      <c r="C33" s="1" t="n">
        <v>254600</v>
      </c>
      <c r="D33" s="1" t="n">
        <v>254600</v>
      </c>
      <c r="E33" s="1" t="n">
        <f aca="false">AVERAGE(B33:D33)</f>
        <v>265200</v>
      </c>
    </row>
    <row r="34" customFormat="false" ht="12.8" hidden="false" customHeight="false" outlineLevel="0" collapsed="false">
      <c r="A34" s="1" t="n">
        <f aca="false">A33*2</f>
        <v>12800</v>
      </c>
      <c r="B34" s="1" t="n">
        <v>1214200</v>
      </c>
      <c r="C34" s="1" t="n">
        <v>873100</v>
      </c>
      <c r="D34" s="1" t="n">
        <v>873100</v>
      </c>
      <c r="E34" s="1" t="n">
        <f aca="false">AVERAGE(B34:D34)</f>
        <v>986800</v>
      </c>
    </row>
    <row r="35" customFormat="false" ht="12.8" hidden="false" customHeight="false" outlineLevel="0" collapsed="false">
      <c r="A35" s="1" t="n">
        <f aca="false">A34*2</f>
        <v>25600</v>
      </c>
      <c r="B35" s="1" t="n">
        <v>1478500</v>
      </c>
      <c r="C35" s="1" t="n">
        <v>1129400</v>
      </c>
      <c r="D35" s="1" t="n">
        <v>1129400</v>
      </c>
      <c r="E35" s="1" t="n">
        <f aca="false">AVERAGE(B35:D35)</f>
        <v>1245766.66666667</v>
      </c>
    </row>
    <row r="36" customFormat="false" ht="12.8" hidden="false" customHeight="false" outlineLevel="0" collapsed="false">
      <c r="A36" s="1" t="n">
        <f aca="false">A35*2</f>
        <v>51200</v>
      </c>
      <c r="B36" s="1" t="n">
        <v>663300</v>
      </c>
      <c r="C36" s="1" t="n">
        <v>576100</v>
      </c>
      <c r="D36" s="1" t="n">
        <v>576100</v>
      </c>
      <c r="E36" s="1" t="n">
        <f aca="false">AVERAGE(B36:D36)</f>
        <v>605166.666666667</v>
      </c>
    </row>
    <row r="37" customFormat="false" ht="12.8" hidden="false" customHeight="false" outlineLevel="0" collapsed="false">
      <c r="A37" s="1" t="n">
        <f aca="false">A36*2</f>
        <v>102400</v>
      </c>
      <c r="B37" s="1" t="n">
        <v>729900</v>
      </c>
      <c r="C37" s="1" t="n">
        <v>795000</v>
      </c>
      <c r="D37" s="1" t="n">
        <v>795000</v>
      </c>
      <c r="E37" s="1" t="n">
        <f aca="false">AVERAGE(B37:D37)</f>
        <v>773300</v>
      </c>
    </row>
    <row r="38" customFormat="false" ht="12.8" hidden="false" customHeight="false" outlineLevel="0" collapsed="false">
      <c r="A38" s="1" t="n">
        <f aca="false">A37*2</f>
        <v>204800</v>
      </c>
      <c r="B38" s="1" t="n">
        <v>279400</v>
      </c>
      <c r="C38" s="1" t="n">
        <v>353200</v>
      </c>
      <c r="D38" s="1" t="n">
        <v>353200</v>
      </c>
      <c r="E38" s="1" t="n">
        <f aca="false">AVERAGE(B38:D38)</f>
        <v>328600</v>
      </c>
    </row>
    <row r="47" customFormat="false" ht="12.8" hidden="false" customHeight="false" outlineLevel="0" collapsed="false">
      <c r="A47" s="1" t="s">
        <v>0</v>
      </c>
      <c r="B47" s="1" t="n">
        <v>1</v>
      </c>
      <c r="C47" s="1" t="n">
        <v>2</v>
      </c>
      <c r="D47" s="1" t="n">
        <v>3</v>
      </c>
    </row>
    <row r="48" customFormat="false" ht="12.8" hidden="false" customHeight="false" outlineLevel="0" collapsed="false">
      <c r="A48" s="1" t="n">
        <v>10</v>
      </c>
      <c r="B48" s="1" t="n">
        <v>521500</v>
      </c>
      <c r="C48" s="1" t="n">
        <v>798100</v>
      </c>
      <c r="D48" s="1" t="n">
        <v>681200</v>
      </c>
      <c r="E48" s="1" t="n">
        <f aca="false">AVERAGE(B48:D48)</f>
        <v>666933.333333333</v>
      </c>
    </row>
    <row r="49" customFormat="false" ht="12.8" hidden="false" customHeight="false" outlineLevel="0" collapsed="false">
      <c r="A49" s="1" t="n">
        <v>100</v>
      </c>
      <c r="B49" s="1" t="n">
        <v>358900</v>
      </c>
      <c r="C49" s="1" t="n">
        <v>503800</v>
      </c>
      <c r="D49" s="1" t="n">
        <v>381200</v>
      </c>
      <c r="E49" s="1" t="n">
        <f aca="false">AVERAGE(B49:D49)</f>
        <v>414633.333333333</v>
      </c>
    </row>
    <row r="50" customFormat="false" ht="12.8" hidden="false" customHeight="false" outlineLevel="0" collapsed="false">
      <c r="A50" s="1" t="n">
        <f aca="false">A49*2</f>
        <v>200</v>
      </c>
      <c r="B50" s="1" t="n">
        <v>1858400</v>
      </c>
      <c r="C50" s="1" t="n">
        <v>2310100</v>
      </c>
      <c r="D50" s="1" t="n">
        <v>1368200</v>
      </c>
      <c r="E50" s="1" t="n">
        <f aca="false">AVERAGE(B50:D50)</f>
        <v>1845566.66666667</v>
      </c>
    </row>
    <row r="51" customFormat="false" ht="12.8" hidden="false" customHeight="false" outlineLevel="0" collapsed="false">
      <c r="A51" s="1" t="n">
        <f aca="false">A50*2</f>
        <v>400</v>
      </c>
      <c r="B51" s="1" t="n">
        <v>3256600</v>
      </c>
      <c r="C51" s="1" t="n">
        <v>3961400</v>
      </c>
      <c r="D51" s="1" t="n">
        <v>3491300</v>
      </c>
      <c r="E51" s="1" t="n">
        <f aca="false">AVERAGE(B51:D51)</f>
        <v>3569766.66666667</v>
      </c>
    </row>
    <row r="52" customFormat="false" ht="12.8" hidden="false" customHeight="false" outlineLevel="0" collapsed="false">
      <c r="A52" s="1" t="n">
        <f aca="false">A51*2</f>
        <v>800</v>
      </c>
      <c r="B52" s="1" t="n">
        <v>1682200</v>
      </c>
      <c r="C52" s="1" t="n">
        <v>879600</v>
      </c>
      <c r="D52" s="1" t="n">
        <v>1243300</v>
      </c>
      <c r="E52" s="1" t="n">
        <f aca="false">AVERAGE(B52:D52)</f>
        <v>1268366.66666667</v>
      </c>
    </row>
    <row r="53" customFormat="false" ht="12.8" hidden="false" customHeight="false" outlineLevel="0" collapsed="false">
      <c r="A53" s="1" t="n">
        <f aca="false">A52*2</f>
        <v>1600</v>
      </c>
      <c r="B53" s="1" t="n">
        <v>5709400</v>
      </c>
      <c r="C53" s="1" t="n">
        <v>1478600</v>
      </c>
      <c r="D53" s="1" t="n">
        <v>3942600</v>
      </c>
      <c r="E53" s="1" t="n">
        <f aca="false">AVERAGE(B53:D53)</f>
        <v>3710200</v>
      </c>
    </row>
    <row r="54" customFormat="false" ht="12.8" hidden="false" customHeight="false" outlineLevel="0" collapsed="false">
      <c r="A54" s="1" t="n">
        <f aca="false">A53*2</f>
        <v>3200</v>
      </c>
      <c r="B54" s="1" t="n">
        <v>5152000</v>
      </c>
      <c r="C54" s="1" t="n">
        <v>5384900</v>
      </c>
      <c r="D54" s="1" t="n">
        <v>7510400</v>
      </c>
      <c r="E54" s="1" t="n">
        <f aca="false">AVERAGE(B54:D54)</f>
        <v>6015766.66666667</v>
      </c>
    </row>
    <row r="55" customFormat="false" ht="12.8" hidden="false" customHeight="false" outlineLevel="0" collapsed="false">
      <c r="A55" s="1" t="n">
        <f aca="false">A54*2</f>
        <v>6400</v>
      </c>
      <c r="B55" s="1" t="n">
        <v>9254700</v>
      </c>
      <c r="C55" s="1" t="n">
        <v>13955000</v>
      </c>
      <c r="D55" s="1" t="n">
        <v>13574200</v>
      </c>
      <c r="E55" s="1" t="n">
        <f aca="false">AVERAGE(B55:D55)</f>
        <v>12261300</v>
      </c>
    </row>
    <row r="56" customFormat="false" ht="12.8" hidden="false" customHeight="false" outlineLevel="0" collapsed="false">
      <c r="A56" s="1" t="n">
        <f aca="false">A55*2</f>
        <v>12800</v>
      </c>
      <c r="B56" s="1" t="n">
        <v>153476700</v>
      </c>
      <c r="C56" s="1" t="n">
        <v>200935900</v>
      </c>
      <c r="D56" s="1" t="n">
        <v>157292700</v>
      </c>
      <c r="E56" s="1" t="n">
        <f aca="false">AVERAGE(B56:D56)</f>
        <v>170568433.333333</v>
      </c>
    </row>
    <row r="57" customFormat="false" ht="12.8" hidden="false" customHeight="false" outlineLevel="0" collapsed="false">
      <c r="A57" s="1" t="n">
        <f aca="false">A56*2</f>
        <v>25600</v>
      </c>
      <c r="B57" s="1" t="n">
        <v>534329500</v>
      </c>
      <c r="C57" s="1" t="n">
        <v>758332000</v>
      </c>
      <c r="D57" s="1" t="n">
        <v>542957900</v>
      </c>
      <c r="E57" s="1" t="n">
        <f aca="false">AVERAGE(B57:D57)</f>
        <v>611873133.333333</v>
      </c>
    </row>
    <row r="58" customFormat="false" ht="12.8" hidden="false" customHeight="false" outlineLevel="0" collapsed="false">
      <c r="A58" s="1" t="n">
        <f aca="false">A57*2</f>
        <v>51200</v>
      </c>
      <c r="B58" s="1" t="n">
        <v>2020695700</v>
      </c>
      <c r="C58" s="1" t="n">
        <v>2266914900</v>
      </c>
      <c r="D58" s="1" t="n">
        <v>1915520100</v>
      </c>
      <c r="E58" s="1" t="n">
        <f aca="false">AVERAGE(B58:D58)</f>
        <v>2067710233.33333</v>
      </c>
    </row>
    <row r="59" customFormat="false" ht="12.8" hidden="false" customHeight="false" outlineLevel="0" collapsed="false">
      <c r="A59" s="1" t="n">
        <f aca="false">A58*2</f>
        <v>102400</v>
      </c>
    </row>
    <row r="60" customFormat="false" ht="12.8" hidden="false" customHeight="false" outlineLevel="0" collapsed="false">
      <c r="A60" s="1" t="n">
        <f aca="false">A59*2</f>
        <v>204800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2"/>
  <sheetViews>
    <sheetView showFormulas="false" showGridLines="true" showRowColHeaders="true" showZeros="true" rightToLeft="false" tabSelected="false" showOutlineSymbols="true" defaultGridColor="true" view="normal" topLeftCell="A28" colorId="64" zoomScale="85" zoomScaleNormal="85" zoomScalePageLayoutView="100" workbookViewId="0">
      <selection pane="topLeft" activeCell="O28" activeCellId="0" sqref="O2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5" min="5" style="1" width="18.43"/>
  </cols>
  <sheetData>
    <row r="1" customFormat="false" ht="12.8" hidden="false" customHeight="false" outlineLevel="0" collapsed="false">
      <c r="A1" s="1" t="s">
        <v>0</v>
      </c>
      <c r="B1" s="1" t="n">
        <v>1</v>
      </c>
      <c r="C1" s="1" t="n">
        <v>2</v>
      </c>
      <c r="D1" s="1" t="n">
        <v>3</v>
      </c>
      <c r="E1" s="1" t="s">
        <v>1</v>
      </c>
    </row>
    <row r="2" customFormat="false" ht="12.8" hidden="false" customHeight="false" outlineLevel="0" collapsed="false">
      <c r="A2" s="1" t="n">
        <v>10</v>
      </c>
      <c r="B2" s="1" t="n">
        <v>678900</v>
      </c>
      <c r="C2" s="1" t="n">
        <v>648600</v>
      </c>
      <c r="D2" s="1" t="n">
        <v>836300</v>
      </c>
      <c r="E2" s="1" t="n">
        <f aca="false">AVERAGE(B2:D2)</f>
        <v>721266.666666667</v>
      </c>
      <c r="N2" s="1" t="n">
        <v>10</v>
      </c>
      <c r="O2" s="1" t="n">
        <f aca="false">N2*N2</f>
        <v>100</v>
      </c>
    </row>
    <row r="3" customFormat="false" ht="12.8" hidden="false" customHeight="false" outlineLevel="0" collapsed="false">
      <c r="A3" s="1" t="n">
        <v>100</v>
      </c>
      <c r="B3" s="1" t="n">
        <v>47900</v>
      </c>
      <c r="C3" s="1" t="n">
        <v>58100</v>
      </c>
      <c r="D3" s="1" t="n">
        <v>84800</v>
      </c>
      <c r="E3" s="1" t="n">
        <f aca="false">AVERAGE(B3:D3)</f>
        <v>63600</v>
      </c>
      <c r="N3" s="1" t="n">
        <v>100</v>
      </c>
      <c r="O3" s="1" t="n">
        <f aca="false">N3*N3</f>
        <v>10000</v>
      </c>
    </row>
    <row r="4" customFormat="false" ht="12.8" hidden="false" customHeight="false" outlineLevel="0" collapsed="false">
      <c r="A4" s="1" t="n">
        <f aca="false">A3*2</f>
        <v>200</v>
      </c>
      <c r="B4" s="1" t="n">
        <v>137200</v>
      </c>
      <c r="C4" s="1" t="n">
        <v>194300</v>
      </c>
      <c r="D4" s="1" t="n">
        <v>179400</v>
      </c>
      <c r="E4" s="1" t="n">
        <f aca="false">AVERAGE(B4:D4)</f>
        <v>170300</v>
      </c>
      <c r="N4" s="1" t="n">
        <f aca="false">N3*2</f>
        <v>200</v>
      </c>
      <c r="O4" s="1" t="n">
        <f aca="false">N4*N4</f>
        <v>40000</v>
      </c>
    </row>
    <row r="5" customFormat="false" ht="12.8" hidden="false" customHeight="false" outlineLevel="0" collapsed="false">
      <c r="A5" s="1" t="n">
        <f aca="false">A4*2</f>
        <v>400</v>
      </c>
      <c r="B5" s="1" t="n">
        <v>55600</v>
      </c>
      <c r="C5" s="1" t="n">
        <v>69300</v>
      </c>
      <c r="D5" s="1" t="n">
        <v>53500</v>
      </c>
      <c r="E5" s="1" t="n">
        <f aca="false">AVERAGE(B5:D5)</f>
        <v>59466.6666666667</v>
      </c>
      <c r="N5" s="1" t="n">
        <f aca="false">N4*2</f>
        <v>400</v>
      </c>
      <c r="O5" s="1" t="n">
        <f aca="false">N5*N5</f>
        <v>160000</v>
      </c>
    </row>
    <row r="6" customFormat="false" ht="12.8" hidden="false" customHeight="false" outlineLevel="0" collapsed="false">
      <c r="A6" s="1" t="n">
        <f aca="false">A5*2</f>
        <v>800</v>
      </c>
      <c r="B6" s="1" t="n">
        <v>107800</v>
      </c>
      <c r="C6" s="1" t="n">
        <v>98300</v>
      </c>
      <c r="D6" s="1" t="n">
        <v>123000</v>
      </c>
      <c r="E6" s="1" t="n">
        <f aca="false">AVERAGE(B6:D6)</f>
        <v>109700</v>
      </c>
      <c r="N6" s="1" t="n">
        <f aca="false">N5*2</f>
        <v>800</v>
      </c>
      <c r="O6" s="1" t="n">
        <f aca="false">N6*N6</f>
        <v>640000</v>
      </c>
    </row>
    <row r="7" customFormat="false" ht="12.8" hidden="false" customHeight="false" outlineLevel="0" collapsed="false">
      <c r="A7" s="1" t="n">
        <f aca="false">A6*2</f>
        <v>1600</v>
      </c>
      <c r="B7" s="1" t="n">
        <v>202200</v>
      </c>
      <c r="C7" s="1" t="n">
        <v>212700</v>
      </c>
      <c r="D7" s="1" t="n">
        <v>240700</v>
      </c>
      <c r="E7" s="1" t="n">
        <f aca="false">AVERAGE(B7:D7)</f>
        <v>218533.333333333</v>
      </c>
      <c r="N7" s="1" t="n">
        <f aca="false">N6*2</f>
        <v>1600</v>
      </c>
      <c r="O7" s="1" t="n">
        <f aca="false">N7*N7</f>
        <v>2560000</v>
      </c>
    </row>
    <row r="8" customFormat="false" ht="12.8" hidden="false" customHeight="false" outlineLevel="0" collapsed="false">
      <c r="A8" s="1" t="n">
        <f aca="false">A7*2</f>
        <v>3200</v>
      </c>
      <c r="B8" s="1" t="n">
        <v>474800</v>
      </c>
      <c r="C8" s="1" t="n">
        <v>448100</v>
      </c>
      <c r="D8" s="1" t="n">
        <v>380600</v>
      </c>
      <c r="E8" s="1" t="n">
        <f aca="false">AVERAGE(B8:D8)</f>
        <v>434500</v>
      </c>
      <c r="N8" s="1" t="n">
        <f aca="false">N7*2</f>
        <v>3200</v>
      </c>
      <c r="O8" s="1" t="n">
        <f aca="false">N8*N8</f>
        <v>10240000</v>
      </c>
    </row>
    <row r="9" customFormat="false" ht="12.8" hidden="false" customHeight="false" outlineLevel="0" collapsed="false">
      <c r="A9" s="1" t="n">
        <f aca="false">A8*2</f>
        <v>6400</v>
      </c>
      <c r="B9" s="1" t="n">
        <v>963300</v>
      </c>
      <c r="C9" s="1" t="n">
        <v>854400</v>
      </c>
      <c r="D9" s="1" t="n">
        <v>779200</v>
      </c>
      <c r="E9" s="1" t="n">
        <f aca="false">AVERAGE(B9:D9)</f>
        <v>865633.333333333</v>
      </c>
      <c r="N9" s="1" t="n">
        <f aca="false">N8*2</f>
        <v>6400</v>
      </c>
      <c r="O9" s="1" t="n">
        <f aca="false">N9*N9</f>
        <v>40960000</v>
      </c>
    </row>
    <row r="10" customFormat="false" ht="12.8" hidden="false" customHeight="false" outlineLevel="0" collapsed="false">
      <c r="A10" s="1" t="n">
        <f aca="false">A9*2</f>
        <v>12800</v>
      </c>
      <c r="B10" s="1" t="n">
        <v>2822700</v>
      </c>
      <c r="C10" s="1" t="n">
        <v>5187400</v>
      </c>
      <c r="D10" s="1" t="n">
        <v>4519900</v>
      </c>
      <c r="E10" s="1" t="n">
        <f aca="false">AVERAGE(B10:D10)</f>
        <v>4176666.66666667</v>
      </c>
      <c r="N10" s="1" t="n">
        <f aca="false">N9*2</f>
        <v>12800</v>
      </c>
      <c r="O10" s="1" t="n">
        <f aca="false">N10*N10</f>
        <v>163840000</v>
      </c>
    </row>
    <row r="11" customFormat="false" ht="12.8" hidden="false" customHeight="false" outlineLevel="0" collapsed="false">
      <c r="A11" s="1" t="n">
        <f aca="false">A10*2</f>
        <v>25600</v>
      </c>
      <c r="B11" s="1" t="n">
        <v>6107800</v>
      </c>
      <c r="C11" s="1" t="n">
        <v>6233400</v>
      </c>
      <c r="D11" s="1" t="n">
        <v>8676900</v>
      </c>
      <c r="E11" s="1" t="n">
        <f aca="false">AVERAGE(B11:D11)</f>
        <v>7006033.33333333</v>
      </c>
      <c r="N11" s="1" t="n">
        <f aca="false">N10*2</f>
        <v>25600</v>
      </c>
      <c r="O11" s="1" t="n">
        <f aca="false">N11*N11</f>
        <v>655360000</v>
      </c>
    </row>
    <row r="12" customFormat="false" ht="12.8" hidden="false" customHeight="false" outlineLevel="0" collapsed="false">
      <c r="A12" s="1" t="n">
        <f aca="false">A11*2</f>
        <v>51200</v>
      </c>
      <c r="B12" s="1" t="n">
        <v>11790000</v>
      </c>
      <c r="C12" s="1" t="n">
        <v>11198200</v>
      </c>
      <c r="D12" s="1" t="n">
        <v>14092600</v>
      </c>
      <c r="E12" s="1" t="n">
        <f aca="false">AVERAGE(B12:D12)</f>
        <v>12360266.6666667</v>
      </c>
      <c r="N12" s="1" t="n">
        <f aca="false">N11*2</f>
        <v>51200</v>
      </c>
      <c r="O12" s="1" t="n">
        <f aca="false">N12*N12</f>
        <v>2621440000</v>
      </c>
    </row>
    <row r="13" customFormat="false" ht="12.8" hidden="false" customHeight="false" outlineLevel="0" collapsed="false">
      <c r="A13" s="1" t="n">
        <f aca="false">A12*2</f>
        <v>102400</v>
      </c>
      <c r="B13" s="1" t="n">
        <v>18041700</v>
      </c>
      <c r="C13" s="1" t="n">
        <v>26089600</v>
      </c>
      <c r="D13" s="1" t="n">
        <v>22063100</v>
      </c>
      <c r="E13" s="1" t="n">
        <f aca="false">AVERAGE(B13:D13)</f>
        <v>22064800</v>
      </c>
      <c r="N13" s="1" t="n">
        <f aca="false">N12*2</f>
        <v>102400</v>
      </c>
      <c r="O13" s="1" t="n">
        <f aca="false">N13*N13</f>
        <v>10485760000</v>
      </c>
    </row>
    <row r="14" customFormat="false" ht="12.8" hidden="false" customHeight="false" outlineLevel="0" collapsed="false">
      <c r="A14" s="1" t="n">
        <f aca="false">A13*2</f>
        <v>204800</v>
      </c>
      <c r="B14" s="1" t="n">
        <v>42874800</v>
      </c>
      <c r="C14" s="1" t="n">
        <v>49906600</v>
      </c>
      <c r="D14" s="1" t="n">
        <v>48767900</v>
      </c>
      <c r="E14" s="1" t="n">
        <f aca="false">AVERAGE(B14:D14)</f>
        <v>47183100</v>
      </c>
      <c r="N14" s="1" t="n">
        <f aca="false">N13*2</f>
        <v>204800</v>
      </c>
      <c r="O14" s="1" t="n">
        <f aca="false">N14*N14</f>
        <v>41943040000</v>
      </c>
    </row>
    <row r="15" customFormat="false" ht="12.8" hidden="false" customHeight="false" outlineLevel="0" collapsed="false">
      <c r="N15" s="1" t="n">
        <f aca="false">N14*2</f>
        <v>409600</v>
      </c>
      <c r="O15" s="1" t="n">
        <f aca="false">N15*N15</f>
        <v>167772160000</v>
      </c>
    </row>
    <row r="16" customFormat="false" ht="12.8" hidden="false" customHeight="false" outlineLevel="0" collapsed="false">
      <c r="N16" s="1" t="n">
        <f aca="false">N15*2</f>
        <v>819200</v>
      </c>
      <c r="O16" s="1" t="n">
        <f aca="false">N16*N16</f>
        <v>671088640000</v>
      </c>
    </row>
    <row r="17" customFormat="false" ht="12.8" hidden="false" customHeight="false" outlineLevel="0" collapsed="false">
      <c r="N17" s="1" t="n">
        <f aca="false">N16*2</f>
        <v>1638400</v>
      </c>
      <c r="O17" s="1" t="n">
        <f aca="false">N17*N17</f>
        <v>2684354560000</v>
      </c>
    </row>
    <row r="25" customFormat="false" ht="12.8" hidden="false" customHeight="false" outlineLevel="0" collapsed="false">
      <c r="A25" s="1" t="s">
        <v>0</v>
      </c>
      <c r="B25" s="1" t="n">
        <v>1</v>
      </c>
      <c r="C25" s="1" t="n">
        <v>2</v>
      </c>
      <c r="D25" s="1" t="n">
        <v>3</v>
      </c>
      <c r="E25" s="1" t="s">
        <v>1</v>
      </c>
    </row>
    <row r="26" customFormat="false" ht="12.8" hidden="false" customHeight="false" outlineLevel="0" collapsed="false">
      <c r="A26" s="1" t="n">
        <v>10</v>
      </c>
      <c r="B26" s="1" t="n">
        <v>567400</v>
      </c>
      <c r="C26" s="1" t="n">
        <v>735300</v>
      </c>
      <c r="D26" s="1" t="n">
        <v>817700</v>
      </c>
      <c r="E26" s="1" t="n">
        <f aca="false">AVERAGE(B26:D26)</f>
        <v>706800</v>
      </c>
      <c r="N26" s="1" t="n">
        <v>10</v>
      </c>
      <c r="O26" s="1" t="n">
        <f aca="false">N26*LOG(N26)</f>
        <v>10</v>
      </c>
    </row>
    <row r="27" customFormat="false" ht="12.8" hidden="false" customHeight="false" outlineLevel="0" collapsed="false">
      <c r="A27" s="1" t="n">
        <v>100</v>
      </c>
      <c r="B27" s="1" t="n">
        <v>45500</v>
      </c>
      <c r="C27" s="1" t="n">
        <v>61900</v>
      </c>
      <c r="D27" s="1" t="n">
        <v>66600</v>
      </c>
      <c r="E27" s="1" t="n">
        <f aca="false">AVERAGE(B27:D27)</f>
        <v>58000</v>
      </c>
      <c r="N27" s="1" t="n">
        <v>100</v>
      </c>
      <c r="O27" s="1" t="n">
        <f aca="false">N27*LOG(N27, 2)</f>
        <v>664.385618977473</v>
      </c>
    </row>
    <row r="28" customFormat="false" ht="12.8" hidden="false" customHeight="false" outlineLevel="0" collapsed="false">
      <c r="A28" s="1" t="n">
        <f aca="false">A27*2</f>
        <v>200</v>
      </c>
      <c r="B28" s="1" t="n">
        <v>118800</v>
      </c>
      <c r="C28" s="1" t="n">
        <v>163800</v>
      </c>
      <c r="D28" s="1" t="n">
        <v>166400</v>
      </c>
      <c r="E28" s="1" t="n">
        <f aca="false">AVERAGE(B28:D28)</f>
        <v>149666.666666667</v>
      </c>
      <c r="N28" s="1" t="n">
        <f aca="false">N27*2</f>
        <v>200</v>
      </c>
      <c r="O28" s="1" t="n">
        <f aca="false">N28*LOG(N28, 2)</f>
        <v>1528.77123795494</v>
      </c>
    </row>
    <row r="29" customFormat="false" ht="12.8" hidden="false" customHeight="false" outlineLevel="0" collapsed="false">
      <c r="A29" s="1" t="n">
        <f aca="false">A28*2</f>
        <v>400</v>
      </c>
      <c r="B29" s="1" t="n">
        <v>44700</v>
      </c>
      <c r="C29" s="1" t="n">
        <v>56400</v>
      </c>
      <c r="D29" s="1" t="n">
        <v>61800</v>
      </c>
      <c r="E29" s="1" t="n">
        <f aca="false">AVERAGE(B29:D29)</f>
        <v>54300</v>
      </c>
      <c r="N29" s="1" t="n">
        <f aca="false">N28*2</f>
        <v>400</v>
      </c>
      <c r="O29" s="1" t="n">
        <f aca="false">N29*LOG(N29, 2)</f>
        <v>3457.54247590989</v>
      </c>
    </row>
    <row r="30" customFormat="false" ht="12.8" hidden="false" customHeight="false" outlineLevel="0" collapsed="false">
      <c r="A30" s="1" t="n">
        <f aca="false">A29*2</f>
        <v>800</v>
      </c>
      <c r="B30" s="1" t="n">
        <v>58700</v>
      </c>
      <c r="C30" s="1" t="n">
        <v>88500</v>
      </c>
      <c r="D30" s="1" t="n">
        <v>96300</v>
      </c>
      <c r="E30" s="1" t="n">
        <f aca="false">AVERAGE(B30:D30)</f>
        <v>81166.6666666667</v>
      </c>
      <c r="N30" s="1" t="n">
        <f aca="false">N29*2</f>
        <v>800</v>
      </c>
      <c r="O30" s="1" t="n">
        <f aca="false">N30*LOG(N30, 2)</f>
        <v>7715.08495181978</v>
      </c>
    </row>
    <row r="31" customFormat="false" ht="12.8" hidden="false" customHeight="false" outlineLevel="0" collapsed="false">
      <c r="A31" s="1" t="n">
        <f aca="false">A30*2</f>
        <v>1600</v>
      </c>
      <c r="B31" s="1" t="n">
        <v>155500</v>
      </c>
      <c r="C31" s="1" t="n">
        <v>167500</v>
      </c>
      <c r="D31" s="1" t="n">
        <v>154300</v>
      </c>
      <c r="E31" s="1" t="n">
        <f aca="false">AVERAGE(B31:D31)</f>
        <v>159100</v>
      </c>
      <c r="N31" s="1" t="n">
        <f aca="false">N30*2</f>
        <v>1600</v>
      </c>
      <c r="O31" s="1" t="n">
        <f aca="false">N31*LOG(N31, 2)</f>
        <v>17030.1699036396</v>
      </c>
    </row>
    <row r="32" customFormat="false" ht="12.8" hidden="false" customHeight="false" outlineLevel="0" collapsed="false">
      <c r="A32" s="1" t="n">
        <f aca="false">A31*2</f>
        <v>3200</v>
      </c>
      <c r="B32" s="1" t="n">
        <v>177400</v>
      </c>
      <c r="C32" s="1" t="n">
        <v>213300</v>
      </c>
      <c r="D32" s="1" t="n">
        <v>242400</v>
      </c>
      <c r="E32" s="1" t="n">
        <f aca="false">AVERAGE(B32:D32)</f>
        <v>211033.333333333</v>
      </c>
      <c r="N32" s="1" t="n">
        <f aca="false">N31*2</f>
        <v>3200</v>
      </c>
      <c r="O32" s="1" t="n">
        <f aca="false">N32*LOG(N32, 2)</f>
        <v>37260.3398072791</v>
      </c>
    </row>
    <row r="33" customFormat="false" ht="12.8" hidden="false" customHeight="false" outlineLevel="0" collapsed="false">
      <c r="A33" s="1" t="n">
        <f aca="false">A32*2</f>
        <v>6400</v>
      </c>
      <c r="B33" s="1" t="n">
        <v>452500</v>
      </c>
      <c r="C33" s="1" t="n">
        <v>526700</v>
      </c>
      <c r="D33" s="1" t="n">
        <v>486900</v>
      </c>
      <c r="E33" s="1" t="n">
        <f aca="false">AVERAGE(B33:D33)</f>
        <v>488700</v>
      </c>
      <c r="N33" s="1" t="n">
        <f aca="false">N32*2</f>
        <v>6400</v>
      </c>
      <c r="O33" s="1" t="n">
        <f aca="false">N33*LOG(N33, 2)</f>
        <v>80920.6796145582</v>
      </c>
    </row>
    <row r="34" customFormat="false" ht="12.8" hidden="false" customHeight="false" outlineLevel="0" collapsed="false">
      <c r="A34" s="1" t="n">
        <f aca="false">A33*2</f>
        <v>12800</v>
      </c>
      <c r="B34" s="1" t="n">
        <v>2023100</v>
      </c>
      <c r="C34" s="1" t="n">
        <v>1996700</v>
      </c>
      <c r="D34" s="1" t="n">
        <v>3611500</v>
      </c>
      <c r="E34" s="1" t="n">
        <f aca="false">AVERAGE(B34:D34)</f>
        <v>2543766.66666667</v>
      </c>
      <c r="N34" s="1" t="n">
        <f aca="false">N33*2</f>
        <v>12800</v>
      </c>
      <c r="O34" s="1" t="n">
        <f aca="false">N34*LOG(N34, 2)</f>
        <v>174641.359229116</v>
      </c>
    </row>
    <row r="35" customFormat="false" ht="12.8" hidden="false" customHeight="false" outlineLevel="0" collapsed="false">
      <c r="A35" s="1" t="n">
        <f aca="false">A34*2</f>
        <v>25600</v>
      </c>
      <c r="B35" s="1" t="n">
        <v>5887200</v>
      </c>
      <c r="C35" s="1" t="n">
        <v>5984400</v>
      </c>
      <c r="D35" s="1" t="n">
        <v>4980900</v>
      </c>
      <c r="E35" s="1" t="n">
        <f aca="false">AVERAGE(B35:D35)</f>
        <v>5617500</v>
      </c>
      <c r="N35" s="1" t="n">
        <f aca="false">N34*2</f>
        <v>25600</v>
      </c>
      <c r="O35" s="1" t="n">
        <f aca="false">N35*LOG(N35, 2)</f>
        <v>374882.718458233</v>
      </c>
    </row>
    <row r="36" customFormat="false" ht="12.8" hidden="false" customHeight="false" outlineLevel="0" collapsed="false">
      <c r="A36" s="1" t="n">
        <f aca="false">A35*2</f>
        <v>51200</v>
      </c>
      <c r="B36" s="1" t="n">
        <v>8973600</v>
      </c>
      <c r="C36" s="1" t="n">
        <v>9472400</v>
      </c>
      <c r="D36" s="1" t="n">
        <v>12650500</v>
      </c>
      <c r="E36" s="1" t="n">
        <f aca="false">AVERAGE(B36:D36)</f>
        <v>10365500</v>
      </c>
      <c r="N36" s="1" t="n">
        <f aca="false">N35*2</f>
        <v>51200</v>
      </c>
      <c r="O36" s="1" t="n">
        <f aca="false">N36*LOG(N36, 2)</f>
        <v>800965.436916466</v>
      </c>
    </row>
    <row r="37" customFormat="false" ht="12.8" hidden="false" customHeight="false" outlineLevel="0" collapsed="false">
      <c r="A37" s="1" t="n">
        <f aca="false">A36*2</f>
        <v>102400</v>
      </c>
      <c r="B37" s="1" t="n">
        <v>17319600</v>
      </c>
      <c r="C37" s="1" t="n">
        <v>11203900</v>
      </c>
      <c r="D37" s="1" t="n">
        <v>18783700</v>
      </c>
      <c r="E37" s="1" t="n">
        <f aca="false">AVERAGE(B37:D37)</f>
        <v>15769066.6666667</v>
      </c>
      <c r="N37" s="1" t="n">
        <f aca="false">N36*2</f>
        <v>102400</v>
      </c>
      <c r="O37" s="1" t="n">
        <f aca="false">N37*LOG(N37, 2)</f>
        <v>1704330.87383293</v>
      </c>
    </row>
    <row r="38" customFormat="false" ht="12.8" hidden="false" customHeight="false" outlineLevel="0" collapsed="false">
      <c r="A38" s="1" t="n">
        <f aca="false">A37*2</f>
        <v>204800</v>
      </c>
      <c r="B38" s="1" t="n">
        <v>15876200</v>
      </c>
      <c r="C38" s="1" t="n">
        <v>16488500</v>
      </c>
      <c r="D38" s="1" t="n">
        <v>24147400</v>
      </c>
      <c r="E38" s="1" t="n">
        <f aca="false">AVERAGE(B38:D38)</f>
        <v>18837366.6666667</v>
      </c>
      <c r="N38" s="1" t="n">
        <f aca="false">N37*2</f>
        <v>204800</v>
      </c>
      <c r="O38" s="1" t="n">
        <f aca="false">N38*LOG(N38, 2)</f>
        <v>3613461.74766586</v>
      </c>
    </row>
    <row r="39" customFormat="false" ht="12.8" hidden="false" customHeight="false" outlineLevel="0" collapsed="false">
      <c r="N39" s="1" t="n">
        <f aca="false">N38*2</f>
        <v>409600</v>
      </c>
      <c r="O39" s="1" t="n">
        <f aca="false">N39*LOG(N39, 2)</f>
        <v>7636523.49533173</v>
      </c>
    </row>
    <row r="40" customFormat="false" ht="12.8" hidden="false" customHeight="false" outlineLevel="0" collapsed="false">
      <c r="N40" s="1" t="n">
        <f aca="false">N39*2</f>
        <v>819200</v>
      </c>
      <c r="O40" s="1" t="n">
        <f aca="false">N40*LOG(N40, 2)</f>
        <v>16092246.9906635</v>
      </c>
    </row>
    <row r="41" customFormat="false" ht="12.8" hidden="false" customHeight="false" outlineLevel="0" collapsed="false">
      <c r="N41" s="1" t="n">
        <f aca="false">N40*2</f>
        <v>1638400</v>
      </c>
      <c r="O41" s="1" t="n">
        <f aca="false">N41*LOG(N41, 2)</f>
        <v>33822893.9813269</v>
      </c>
    </row>
    <row r="49" customFormat="false" ht="12.8" hidden="false" customHeight="false" outlineLevel="0" collapsed="false">
      <c r="A49" s="1" t="s">
        <v>0</v>
      </c>
      <c r="B49" s="1" t="n">
        <v>1</v>
      </c>
      <c r="C49" s="1" t="n">
        <v>2</v>
      </c>
      <c r="D49" s="1" t="n">
        <v>3</v>
      </c>
      <c r="E49" s="1" t="s">
        <v>1</v>
      </c>
    </row>
    <row r="50" customFormat="false" ht="12.8" hidden="false" customHeight="false" outlineLevel="0" collapsed="false">
      <c r="A50" s="1" t="n">
        <v>10</v>
      </c>
      <c r="B50" s="1" t="n">
        <v>531800</v>
      </c>
      <c r="C50" s="1" t="n">
        <v>633300</v>
      </c>
      <c r="D50" s="1" t="n">
        <v>748000</v>
      </c>
      <c r="E50" s="1" t="n">
        <f aca="false">AVERAGE(B50:D50)</f>
        <v>637700</v>
      </c>
    </row>
    <row r="51" customFormat="false" ht="12.8" hidden="false" customHeight="false" outlineLevel="0" collapsed="false">
      <c r="A51" s="1" t="n">
        <v>100</v>
      </c>
      <c r="B51" s="1" t="n">
        <v>42800</v>
      </c>
      <c r="C51" s="1" t="n">
        <v>49600</v>
      </c>
      <c r="D51" s="1" t="n">
        <v>65300</v>
      </c>
      <c r="E51" s="1" t="n">
        <f aca="false">AVERAGE(B51:D51)</f>
        <v>52566.6666666667</v>
      </c>
    </row>
    <row r="52" customFormat="false" ht="12.8" hidden="false" customHeight="false" outlineLevel="0" collapsed="false">
      <c r="A52" s="1" t="n">
        <f aca="false">A51*2</f>
        <v>200</v>
      </c>
      <c r="B52" s="1" t="n">
        <v>133300</v>
      </c>
      <c r="C52" s="1" t="n">
        <v>151700</v>
      </c>
      <c r="D52" s="1" t="n">
        <v>152400</v>
      </c>
      <c r="E52" s="1" t="n">
        <f aca="false">AVERAGE(B52:D52)</f>
        <v>145800</v>
      </c>
    </row>
    <row r="53" customFormat="false" ht="12.8" hidden="false" customHeight="false" outlineLevel="0" collapsed="false">
      <c r="A53" s="1" t="n">
        <f aca="false">A52*2</f>
        <v>400</v>
      </c>
      <c r="B53" s="1" t="n">
        <v>54100</v>
      </c>
      <c r="C53" s="1" t="n">
        <v>55900</v>
      </c>
      <c r="D53" s="1" t="n">
        <v>55700</v>
      </c>
      <c r="E53" s="1" t="n">
        <f aca="false">AVERAGE(B53:D53)</f>
        <v>55233.3333333333</v>
      </c>
    </row>
    <row r="54" customFormat="false" ht="12.8" hidden="false" customHeight="false" outlineLevel="0" collapsed="false">
      <c r="A54" s="1" t="n">
        <f aca="false">A53*2</f>
        <v>800</v>
      </c>
      <c r="B54" s="1" t="n">
        <v>70200</v>
      </c>
      <c r="C54" s="1" t="n">
        <v>73000</v>
      </c>
      <c r="D54" s="1" t="n">
        <v>94700</v>
      </c>
      <c r="E54" s="1" t="n">
        <f aca="false">AVERAGE(B54:D54)</f>
        <v>79300</v>
      </c>
    </row>
    <row r="55" customFormat="false" ht="12.8" hidden="false" customHeight="false" outlineLevel="0" collapsed="false">
      <c r="A55" s="1" t="n">
        <f aca="false">A54*2</f>
        <v>1600</v>
      </c>
      <c r="B55" s="1" t="n">
        <v>191700</v>
      </c>
      <c r="C55" s="1" t="n">
        <v>225000</v>
      </c>
      <c r="D55" s="1" t="n">
        <v>117800</v>
      </c>
      <c r="E55" s="1" t="n">
        <f aca="false">AVERAGE(B55:D55)</f>
        <v>178166.666666667</v>
      </c>
    </row>
    <row r="56" customFormat="false" ht="12.8" hidden="false" customHeight="false" outlineLevel="0" collapsed="false">
      <c r="A56" s="1" t="n">
        <f aca="false">A55*2</f>
        <v>3200</v>
      </c>
      <c r="B56" s="1" t="n">
        <v>239300</v>
      </c>
      <c r="C56" s="1" t="n">
        <v>415500</v>
      </c>
      <c r="D56" s="1" t="n">
        <v>218600</v>
      </c>
      <c r="E56" s="1" t="n">
        <f aca="false">AVERAGE(B56:D56)</f>
        <v>291133.333333333</v>
      </c>
    </row>
    <row r="57" customFormat="false" ht="12.8" hidden="false" customHeight="false" outlineLevel="0" collapsed="false">
      <c r="A57" s="1" t="n">
        <f aca="false">A56*2</f>
        <v>6400</v>
      </c>
      <c r="B57" s="1" t="n">
        <v>721800</v>
      </c>
      <c r="C57" s="1" t="n">
        <v>863500</v>
      </c>
      <c r="D57" s="1" t="n">
        <v>474400</v>
      </c>
      <c r="E57" s="1" t="n">
        <f aca="false">AVERAGE(B57:D57)</f>
        <v>686566.666666667</v>
      </c>
    </row>
    <row r="58" customFormat="false" ht="12.8" hidden="false" customHeight="false" outlineLevel="0" collapsed="false">
      <c r="A58" s="1" t="n">
        <f aca="false">A57*2</f>
        <v>12800</v>
      </c>
      <c r="B58" s="1" t="n">
        <v>1974100</v>
      </c>
      <c r="C58" s="1" t="n">
        <v>2954100</v>
      </c>
      <c r="D58" s="1" t="n">
        <v>3797800</v>
      </c>
      <c r="E58" s="1" t="n">
        <f aca="false">AVERAGE(B58:D58)</f>
        <v>2908666.66666667</v>
      </c>
    </row>
    <row r="59" customFormat="false" ht="12.8" hidden="false" customHeight="false" outlineLevel="0" collapsed="false">
      <c r="A59" s="1" t="n">
        <f aca="false">A58*2</f>
        <v>25600</v>
      </c>
      <c r="B59" s="1" t="n">
        <v>5274100</v>
      </c>
      <c r="C59" s="1" t="n">
        <v>4573500</v>
      </c>
      <c r="D59" s="1" t="n">
        <v>4155500</v>
      </c>
      <c r="E59" s="1" t="n">
        <f aca="false">AVERAGE(B59:D59)</f>
        <v>4667700</v>
      </c>
    </row>
    <row r="60" customFormat="false" ht="12.8" hidden="false" customHeight="false" outlineLevel="0" collapsed="false">
      <c r="A60" s="1" t="n">
        <f aca="false">A59*2</f>
        <v>51200</v>
      </c>
      <c r="B60" s="1" t="n">
        <v>9563000</v>
      </c>
      <c r="C60" s="1" t="n">
        <v>14799500</v>
      </c>
      <c r="D60" s="1" t="n">
        <v>12287300</v>
      </c>
      <c r="E60" s="1" t="n">
        <f aca="false">AVERAGE(B60:D60)</f>
        <v>12216600</v>
      </c>
    </row>
    <row r="61" customFormat="false" ht="12.8" hidden="false" customHeight="false" outlineLevel="0" collapsed="false">
      <c r="A61" s="1" t="n">
        <f aca="false">A60*2</f>
        <v>102400</v>
      </c>
      <c r="B61" s="1" t="n">
        <v>14498800</v>
      </c>
      <c r="C61" s="1" t="n">
        <v>16859800</v>
      </c>
      <c r="D61" s="1" t="n">
        <v>24825200</v>
      </c>
      <c r="E61" s="1" t="n">
        <f aca="false">AVERAGE(B61:D61)</f>
        <v>18727933.3333333</v>
      </c>
    </row>
    <row r="62" customFormat="false" ht="12.8" hidden="false" customHeight="false" outlineLevel="0" collapsed="false">
      <c r="A62" s="1" t="n">
        <f aca="false">A61*2</f>
        <v>204800</v>
      </c>
      <c r="B62" s="1" t="n">
        <v>16292900</v>
      </c>
      <c r="C62" s="1" t="n">
        <v>18586000</v>
      </c>
      <c r="D62" s="1" t="n">
        <v>22418300</v>
      </c>
      <c r="E62" s="1" t="n">
        <f aca="false">AVERAGE(B62:D62)</f>
        <v>19099066.6666667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R25" activeCellId="0" sqref="R2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n">
        <v>1</v>
      </c>
      <c r="C1" s="1" t="n">
        <v>2</v>
      </c>
      <c r="D1" s="1" t="n">
        <v>3</v>
      </c>
      <c r="E1" s="1" t="s">
        <v>1</v>
      </c>
    </row>
    <row r="2" customFormat="false" ht="12.8" hidden="false" customHeight="false" outlineLevel="0" collapsed="false">
      <c r="A2" s="1" t="n">
        <v>10</v>
      </c>
      <c r="B2" s="1" t="n">
        <v>678900</v>
      </c>
      <c r="C2" s="1" t="n">
        <v>648600</v>
      </c>
      <c r="D2" s="1" t="n">
        <v>836300</v>
      </c>
      <c r="E2" s="1" t="n">
        <f aca="false">AVERAGE(B2:D2)</f>
        <v>721266.666666667</v>
      </c>
    </row>
    <row r="3" customFormat="false" ht="12.8" hidden="false" customHeight="false" outlineLevel="0" collapsed="false">
      <c r="A3" s="1" t="n">
        <v>100</v>
      </c>
      <c r="B3" s="1" t="n">
        <v>47900</v>
      </c>
      <c r="C3" s="1" t="n">
        <v>58100</v>
      </c>
      <c r="D3" s="1" t="n">
        <v>84800</v>
      </c>
      <c r="E3" s="1" t="n">
        <f aca="false">AVERAGE(B3:D3)</f>
        <v>63600</v>
      </c>
    </row>
    <row r="4" customFormat="false" ht="12.8" hidden="false" customHeight="false" outlineLevel="0" collapsed="false">
      <c r="A4" s="1" t="n">
        <f aca="false">A3*2</f>
        <v>200</v>
      </c>
      <c r="B4" s="1" t="n">
        <v>137200</v>
      </c>
      <c r="C4" s="1" t="n">
        <v>194300</v>
      </c>
      <c r="D4" s="1" t="n">
        <v>179400</v>
      </c>
      <c r="E4" s="1" t="n">
        <f aca="false">AVERAGE(B4:D4)</f>
        <v>170300</v>
      </c>
    </row>
    <row r="5" customFormat="false" ht="12.8" hidden="false" customHeight="false" outlineLevel="0" collapsed="false">
      <c r="A5" s="1" t="n">
        <f aca="false">A4*2</f>
        <v>400</v>
      </c>
      <c r="B5" s="1" t="n">
        <v>55600</v>
      </c>
      <c r="C5" s="1" t="n">
        <v>69300</v>
      </c>
      <c r="D5" s="1" t="n">
        <v>53500</v>
      </c>
      <c r="E5" s="1" t="n">
        <f aca="false">AVERAGE(B5:D5)</f>
        <v>59466.6666666667</v>
      </c>
    </row>
    <row r="6" customFormat="false" ht="12.8" hidden="false" customHeight="false" outlineLevel="0" collapsed="false">
      <c r="A6" s="1" t="n">
        <f aca="false">A5*2</f>
        <v>800</v>
      </c>
      <c r="B6" s="1" t="n">
        <v>107800</v>
      </c>
      <c r="C6" s="1" t="n">
        <v>98300</v>
      </c>
      <c r="D6" s="1" t="n">
        <v>123000</v>
      </c>
      <c r="E6" s="1" t="n">
        <f aca="false">AVERAGE(B6:D6)</f>
        <v>109700</v>
      </c>
    </row>
    <row r="7" customFormat="false" ht="12.8" hidden="false" customHeight="false" outlineLevel="0" collapsed="false">
      <c r="A7" s="1" t="n">
        <f aca="false">A6*2</f>
        <v>1600</v>
      </c>
      <c r="B7" s="1" t="n">
        <v>202200</v>
      </c>
      <c r="C7" s="1" t="n">
        <v>212700</v>
      </c>
      <c r="D7" s="1" t="n">
        <v>240700</v>
      </c>
      <c r="E7" s="1" t="n">
        <f aca="false">AVERAGE(B7:D7)</f>
        <v>218533.333333333</v>
      </c>
    </row>
    <row r="8" customFormat="false" ht="12.8" hidden="false" customHeight="false" outlineLevel="0" collapsed="false">
      <c r="A8" s="1" t="n">
        <f aca="false">A7*2</f>
        <v>3200</v>
      </c>
      <c r="B8" s="1" t="n">
        <v>474800</v>
      </c>
      <c r="C8" s="1" t="n">
        <v>448100</v>
      </c>
      <c r="D8" s="1" t="n">
        <v>380600</v>
      </c>
      <c r="E8" s="1" t="n">
        <f aca="false">AVERAGE(B8:D8)</f>
        <v>434500</v>
      </c>
    </row>
    <row r="9" customFormat="false" ht="12.8" hidden="false" customHeight="false" outlineLevel="0" collapsed="false">
      <c r="A9" s="1" t="n">
        <f aca="false">A8*2</f>
        <v>6400</v>
      </c>
      <c r="B9" s="1" t="n">
        <v>963300</v>
      </c>
      <c r="C9" s="1" t="n">
        <v>854400</v>
      </c>
      <c r="D9" s="1" t="n">
        <v>779200</v>
      </c>
      <c r="E9" s="1" t="n">
        <f aca="false">AVERAGE(B9:D9)</f>
        <v>865633.333333333</v>
      </c>
    </row>
    <row r="10" customFormat="false" ht="12.8" hidden="false" customHeight="false" outlineLevel="0" collapsed="false">
      <c r="A10" s="1" t="n">
        <f aca="false">A9*2</f>
        <v>12800</v>
      </c>
      <c r="B10" s="1" t="n">
        <v>2822700</v>
      </c>
      <c r="C10" s="1" t="n">
        <v>5187400</v>
      </c>
      <c r="D10" s="1" t="n">
        <v>4519900</v>
      </c>
      <c r="E10" s="1" t="n">
        <f aca="false">AVERAGE(B10:D10)</f>
        <v>4176666.66666667</v>
      </c>
    </row>
    <row r="11" customFormat="false" ht="12.8" hidden="false" customHeight="false" outlineLevel="0" collapsed="false">
      <c r="A11" s="1" t="n">
        <f aca="false">A10*2</f>
        <v>25600</v>
      </c>
      <c r="B11" s="1" t="n">
        <v>6107800</v>
      </c>
      <c r="C11" s="1" t="n">
        <v>6233400</v>
      </c>
      <c r="D11" s="1" t="n">
        <v>8676900</v>
      </c>
      <c r="E11" s="1" t="n">
        <f aca="false">AVERAGE(B11:D11)</f>
        <v>7006033.33333333</v>
      </c>
    </row>
    <row r="12" customFormat="false" ht="12.8" hidden="false" customHeight="false" outlineLevel="0" collapsed="false">
      <c r="A12" s="1" t="n">
        <f aca="false">A11*2</f>
        <v>51200</v>
      </c>
      <c r="B12" s="1" t="n">
        <v>11790000</v>
      </c>
      <c r="C12" s="1" t="n">
        <v>11198200</v>
      </c>
      <c r="D12" s="1" t="n">
        <v>14092600</v>
      </c>
      <c r="E12" s="1" t="n">
        <f aca="false">AVERAGE(B12:D12)</f>
        <v>12360266.6666667</v>
      </c>
    </row>
    <row r="13" customFormat="false" ht="12.8" hidden="false" customHeight="false" outlineLevel="0" collapsed="false">
      <c r="A13" s="1" t="n">
        <f aca="false">A12*2</f>
        <v>102400</v>
      </c>
      <c r="B13" s="1" t="n">
        <v>18041700</v>
      </c>
      <c r="C13" s="1" t="n">
        <v>26089600</v>
      </c>
      <c r="D13" s="1" t="n">
        <v>22063100</v>
      </c>
      <c r="E13" s="1" t="n">
        <f aca="false">AVERAGE(B13:D13)</f>
        <v>22064800</v>
      </c>
    </row>
    <row r="14" customFormat="false" ht="12.8" hidden="false" customHeight="false" outlineLevel="0" collapsed="false">
      <c r="A14" s="1" t="n">
        <f aca="false">A13*2</f>
        <v>204800</v>
      </c>
      <c r="B14" s="1" t="n">
        <v>42874800</v>
      </c>
      <c r="C14" s="1" t="n">
        <v>49906600</v>
      </c>
      <c r="D14" s="1" t="n">
        <v>48767900</v>
      </c>
      <c r="E14" s="1" t="n">
        <f aca="false">AVERAGE(B14:D14)</f>
        <v>47183100</v>
      </c>
    </row>
    <row r="15" customFormat="false" ht="12.8" hidden="false" customHeight="false" outlineLevel="0" collapsed="false">
      <c r="A15" s="1" t="s">
        <v>2</v>
      </c>
    </row>
    <row r="18" customFormat="false" ht="12.8" hidden="false" customHeight="false" outlineLevel="0" collapsed="false">
      <c r="A18" s="1" t="s">
        <v>0</v>
      </c>
      <c r="B18" s="1" t="n">
        <v>1</v>
      </c>
      <c r="C18" s="1" t="n">
        <v>2</v>
      </c>
      <c r="D18" s="1" t="n">
        <v>3</v>
      </c>
    </row>
    <row r="19" customFormat="false" ht="12.8" hidden="false" customHeight="false" outlineLevel="0" collapsed="false">
      <c r="A19" s="1" t="n">
        <v>10</v>
      </c>
      <c r="B19" s="1" t="n">
        <v>620200</v>
      </c>
      <c r="C19" s="1" t="n">
        <v>591400</v>
      </c>
      <c r="D19" s="1" t="n">
        <v>13514300</v>
      </c>
      <c r="E19" s="1" t="n">
        <f aca="false">AVERAGE(B19:D19)</f>
        <v>4908633.33333333</v>
      </c>
    </row>
    <row r="20" customFormat="false" ht="12.8" hidden="false" customHeight="false" outlineLevel="0" collapsed="false">
      <c r="A20" s="1" t="n">
        <v>100</v>
      </c>
      <c r="B20" s="1" t="n">
        <v>338600</v>
      </c>
      <c r="C20" s="1" t="n">
        <v>299800</v>
      </c>
      <c r="D20" s="1" t="n">
        <v>219900</v>
      </c>
      <c r="E20" s="1" t="n">
        <f aca="false">AVERAGE(B20:D20)</f>
        <v>286100</v>
      </c>
    </row>
    <row r="21" customFormat="false" ht="12.8" hidden="false" customHeight="false" outlineLevel="0" collapsed="false">
      <c r="A21" s="1" t="n">
        <f aca="false">A20*2</f>
        <v>200</v>
      </c>
      <c r="B21" s="1" t="n">
        <v>1259200</v>
      </c>
      <c r="C21" s="1" t="n">
        <v>1196700</v>
      </c>
      <c r="D21" s="1" t="n">
        <v>1022500</v>
      </c>
      <c r="E21" s="1" t="n">
        <f aca="false">AVERAGE(B21:D21)</f>
        <v>1159466.66666667</v>
      </c>
    </row>
    <row r="22" customFormat="false" ht="12.8" hidden="false" customHeight="false" outlineLevel="0" collapsed="false">
      <c r="A22" s="1" t="n">
        <f aca="false">A21*2</f>
        <v>400</v>
      </c>
      <c r="B22" s="1" t="n">
        <v>3156300</v>
      </c>
      <c r="C22" s="1" t="n">
        <v>2963700</v>
      </c>
      <c r="D22" s="1" t="n">
        <v>2811700</v>
      </c>
      <c r="E22" s="1" t="n">
        <f aca="false">AVERAGE(B22:D22)</f>
        <v>2977233.33333333</v>
      </c>
    </row>
    <row r="23" customFormat="false" ht="12.8" hidden="false" customHeight="false" outlineLevel="0" collapsed="false">
      <c r="A23" s="1" t="n">
        <f aca="false">A22*2</f>
        <v>800</v>
      </c>
      <c r="B23" s="1" t="n">
        <v>2100300</v>
      </c>
      <c r="C23" s="1" t="n">
        <v>1257300</v>
      </c>
      <c r="D23" s="1" t="n">
        <v>1082800</v>
      </c>
      <c r="E23" s="1" t="n">
        <f aca="false">AVERAGE(B23:D23)</f>
        <v>1480133.33333333</v>
      </c>
    </row>
    <row r="24" customFormat="false" ht="12.8" hidden="false" customHeight="false" outlineLevel="0" collapsed="false">
      <c r="A24" s="1" t="n">
        <f aca="false">A23*2</f>
        <v>1600</v>
      </c>
      <c r="B24" s="1" t="n">
        <v>2929000</v>
      </c>
      <c r="C24" s="1" t="n">
        <v>5746500</v>
      </c>
      <c r="D24" s="1" t="n">
        <v>2420700</v>
      </c>
      <c r="E24" s="1" t="n">
        <f aca="false">AVERAGE(B24:D24)</f>
        <v>3698733.33333333</v>
      </c>
    </row>
    <row r="25" customFormat="false" ht="12.8" hidden="false" customHeight="false" outlineLevel="0" collapsed="false">
      <c r="A25" s="1" t="n">
        <f aca="false">A24*2</f>
        <v>3200</v>
      </c>
      <c r="B25" s="1" t="n">
        <v>7516100</v>
      </c>
      <c r="C25" s="1" t="n">
        <v>6572900</v>
      </c>
      <c r="D25" s="1" t="n">
        <v>6499500</v>
      </c>
      <c r="E25" s="1" t="n">
        <f aca="false">AVERAGE(B25:D25)</f>
        <v>6862833.33333333</v>
      </c>
    </row>
    <row r="26" customFormat="false" ht="12.8" hidden="false" customHeight="false" outlineLevel="0" collapsed="false">
      <c r="A26" s="1" t="n">
        <f aca="false">A25*2</f>
        <v>6400</v>
      </c>
      <c r="B26" s="1" t="n">
        <v>23868100</v>
      </c>
      <c r="C26" s="1" t="n">
        <v>20854600</v>
      </c>
      <c r="D26" s="1" t="n">
        <v>13543300</v>
      </c>
      <c r="E26" s="1" t="n">
        <f aca="false">AVERAGE(B26:D26)</f>
        <v>19422000</v>
      </c>
    </row>
    <row r="27" customFormat="false" ht="12.8" hidden="false" customHeight="false" outlineLevel="0" collapsed="false">
      <c r="A27" s="1" t="n">
        <f aca="false">A26*2</f>
        <v>12800</v>
      </c>
      <c r="B27" s="1" t="n">
        <v>677227500</v>
      </c>
      <c r="C27" s="1" t="n">
        <v>669446000</v>
      </c>
      <c r="D27" s="1" t="n">
        <v>458517100</v>
      </c>
      <c r="E27" s="1" t="n">
        <f aca="false">AVERAGE(B27:D27)</f>
        <v>601730200</v>
      </c>
    </row>
    <row r="28" customFormat="false" ht="12.8" hidden="false" customHeight="false" outlineLevel="0" collapsed="false">
      <c r="A28" s="1" t="n">
        <f aca="false">A27*2</f>
        <v>25600</v>
      </c>
      <c r="B28" s="1" t="n">
        <v>2530251100</v>
      </c>
      <c r="C28" s="1" t="n">
        <v>2676483400</v>
      </c>
      <c r="D28" s="1" t="n">
        <v>3137469000</v>
      </c>
      <c r="E28" s="1" t="n">
        <f aca="false">AVERAGE(B28:D28)</f>
        <v>2781401166.66667</v>
      </c>
    </row>
    <row r="29" customFormat="false" ht="12.8" hidden="false" customHeight="false" outlineLevel="0" collapsed="false">
      <c r="A29" s="1" t="n">
        <f aca="false">A28*2</f>
        <v>51200</v>
      </c>
      <c r="B29" s="1" t="n">
        <v>10287626600</v>
      </c>
      <c r="C29" s="1" t="n">
        <v>12147025600</v>
      </c>
      <c r="D29" s="1" t="n">
        <v>16417924400</v>
      </c>
      <c r="E29" s="1" t="n">
        <f aca="false">AVERAGE(B29:D29)</f>
        <v>12950858866.6667</v>
      </c>
    </row>
    <row r="30" customFormat="false" ht="12.8" hidden="false" customHeight="false" outlineLevel="0" collapsed="false">
      <c r="A30" s="1" t="n">
        <f aca="false">A29*2</f>
        <v>102400</v>
      </c>
    </row>
    <row r="31" customFormat="false" ht="12.8" hidden="false" customHeight="false" outlineLevel="0" collapsed="false">
      <c r="A31" s="1" t="n">
        <f aca="false">A30*2</f>
        <v>204800</v>
      </c>
    </row>
    <row r="32" customFormat="false" ht="12.8" hidden="false" customHeight="false" outlineLevel="0" collapsed="false">
      <c r="A32" s="1" t="s">
        <v>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2026-09-22T10:57:57Z</dcterms:created>
  <dc:creator/>
  <dc:description/>
  <dc:language>ru-RU</dc:language>
  <cp:lastModifiedBy/>
  <dcterms:modified xsi:type="dcterms:W3CDTF">2026-10-11T14:29:15Z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